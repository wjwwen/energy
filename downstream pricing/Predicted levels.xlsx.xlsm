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est user - English\Desktop\"/>
    </mc:Choice>
  </mc:AlternateContent>
  <bookViews>
    <workbookView xWindow="0" yWindow="0" windowWidth="11730" windowHeight="10485"/>
  </bookViews>
  <sheets>
    <sheet name="predicted levels" sheetId="1" r:id="rId1"/>
    <sheet name="Phys calcs" sheetId="6" r:id="rId2"/>
    <sheet name=" Platts FOB netback" sheetId="2" r:id="rId3"/>
    <sheet name="Vale Specs" sheetId="3" r:id="rId4"/>
    <sheet name="Steel FOB Calc" sheetId="4" r:id="rId5"/>
    <sheet name="steel margin calculation" sheetId="5" r:id="rId6"/>
  </sheets>
  <definedNames>
    <definedName name="Trayport_Pr_Ask_10600094_10600003_3000095">'predicted levels'!$BO$10</definedName>
    <definedName name="Trayport_Pr_Ask_10600094_10600003_3000095_3000096">'predicted levels'!$BO$74</definedName>
    <definedName name="Trayport_Pr_Ask_10600094_10600003_3000096">'predicted levels'!$BO$11</definedName>
    <definedName name="Trayport_Pr_Ask_10600094_10600003_3000096_3000097">'predicted levels'!$BO$75</definedName>
    <definedName name="Trayport_Pr_Ask_10600094_10600003_3000097">'predicted levels'!$BO$12</definedName>
    <definedName name="Trayport_Pr_Ask_10600094_10600003_3000097_3000098">'predicted levels'!$BO$76</definedName>
    <definedName name="Trayport_Pr_Ask_10600094_10600003_3000098">'predicted levels'!$BO$13</definedName>
    <definedName name="Trayport_Pr_Ask_10600094_10600003_3000098_3000099">'predicted levels'!$BO$77</definedName>
    <definedName name="Trayport_Pr_Ask_10600094_10600003_3000099">'predicted levels'!$BO$14</definedName>
    <definedName name="Trayport_Pr_Ask_10600094_10600003_3000099_3000100">'predicted levels'!$BO$78</definedName>
    <definedName name="Trayport_Pr_Ask_10600094_10600003_3000100">'predicted levels'!$BO$15</definedName>
    <definedName name="Trayport_Pr_Ask_10600094_10600003_3000100_3000101">'predicted levels'!$BO$79</definedName>
    <definedName name="Trayport_Pr_Ask_10600094_10600003_3000101">'predicted levels'!$BO$16</definedName>
    <definedName name="Trayport_Pr_Ask_10600094_10600003_3000101_3000102">'predicted levels'!$BO$80</definedName>
    <definedName name="Trayport_Pr_Ask_10600094_10600003_3000102">'predicted levels'!$BO$17</definedName>
    <definedName name="Trayport_Pr_Ask_10600094_10600003_3000102_3000103">'predicted levels'!$BO$81</definedName>
    <definedName name="Trayport_Pr_Ask_10600094_10600003_3000103">'predicted levels'!$BO$18</definedName>
    <definedName name="Trayport_Pr_Ask_10600094_10600003_3000103_3000104">'predicted levels'!$BO$82</definedName>
    <definedName name="Trayport_Pr_Ask_10600094_10600003_3000104">'predicted levels'!$BO$19</definedName>
    <definedName name="Trayport_Pr_Ask_10600094_10600003_3000104_3000105">'predicted levels'!$BO$83</definedName>
    <definedName name="Trayport_Pr_Ask_10600094_10600003_3000105">'predicted levels'!$BO$20</definedName>
    <definedName name="Trayport_Pr_Ask_10600094_10600003_3000105_3000106">'predicted levels'!$BO$84</definedName>
    <definedName name="Trayport_Pr_Ask_10600094_10600003_3000106">'predicted levels'!$BO$21</definedName>
    <definedName name="Trayport_Pr_Ask_10600094_10600003_3000106_3000107">'predicted levels'!$BO$85</definedName>
    <definedName name="Trayport_Pr_Ask_10600094_10600003_3000107">'predicted levels'!$BO$22</definedName>
    <definedName name="Trayport_Pr_Ask_10600094_10600003_3000107_3000108">'predicted levels'!$BO$86</definedName>
    <definedName name="Trayport_Pr_Ask_10600094_10600003_3000108">'predicted levels'!$BO$23</definedName>
    <definedName name="Trayport_Pr_Ask_10600094_10600003_3000108_3000109">'predicted levels'!$BO$87</definedName>
    <definedName name="Trayport_Pr_Ask_10600094_10600003_3000109">'predicted levels'!$BO$24</definedName>
    <definedName name="Trayport_Pr_Ask_10600094_10600003_3000109_3000110">'predicted levels'!$BO$88</definedName>
    <definedName name="Trayport_Pr_Ask_10600094_10600003_3000110">'predicted levels'!$BO$25</definedName>
    <definedName name="Trayport_Pr_Ask_10600094_10600003_3000110_3000111">'predicted levels'!$BO$89</definedName>
    <definedName name="Trayport_Pr_Ask_10600094_10600003_3000111">'predicted levels'!$BO$26</definedName>
    <definedName name="Trayport_Pr_Ask_10600094_10600003_3000111_3000112">'predicted levels'!$BO$90</definedName>
    <definedName name="Trayport_Pr_Ask_10600094_10600003_3000112">'predicted levels'!$BO$27</definedName>
    <definedName name="Trayport_Pr_Ask_10600094_10600003_3000112_3000113">'predicted levels'!$BO$91</definedName>
    <definedName name="Trayport_Pr_Ask_10600094_10600003_3000113">'predicted levels'!$BO$28</definedName>
    <definedName name="Trayport_Pr_Ask_10600094_10600003_3000113_3000114">'predicted levels'!$BO$92</definedName>
    <definedName name="Trayport_Pr_Ask_10600094_10600003_3000114">'predicted levels'!$BO$29</definedName>
    <definedName name="Trayport_Pr_Ask_10600094_10600003_3000114_3000115">'predicted levels'!$BO$93</definedName>
    <definedName name="Trayport_Pr_Ask_10600094_10600003_3000115">'predicted levels'!$BO$30</definedName>
    <definedName name="Trayport_Pr_Ask_10600094_10600003_3000115_3000116">'predicted levels'!$BO$94</definedName>
    <definedName name="Trayport_Pr_Ask_10600094_10600003_3000116">'predicted levels'!$BO$31</definedName>
    <definedName name="Trayport_Pr_Ask_10600094_10600003_3000116_3000117">'predicted levels'!$BO$95</definedName>
    <definedName name="Trayport_Pr_Ask_10600094_10600003_3000117">'predicted levels'!$BO$32</definedName>
    <definedName name="Trayport_Pr_Ask_10600094_10600003_3000117_3000118">'predicted levels'!$BO$96</definedName>
    <definedName name="Trayport_Pr_Ask_10600094_10600003_3000118">'predicted levels'!$BO$33</definedName>
    <definedName name="Trayport_Pr_Ask_10600094_10600003_3000118_3000119">'predicted levels'!$BO$97</definedName>
    <definedName name="Trayport_Pr_Ask_10600094_10600003_3000119">'predicted levels'!$BO$34</definedName>
    <definedName name="Trayport_Pr_Ask_10600094_10600003_3000119_3000120">'predicted levels'!$BO$98</definedName>
    <definedName name="Trayport_Pr_Ask_10600094_10600003_3000120">'predicted levels'!$BO$35</definedName>
    <definedName name="Trayport_Pr_Ask_10600094_10600003_3000120_3000121">'predicted levels'!$BO$99</definedName>
    <definedName name="Trayport_Pr_Ask_10600094_10600003_3000121">'predicted levels'!$BO$36</definedName>
    <definedName name="Trayport_Pr_Ask_10600094_10600003_3000121_3000122">'predicted levels'!$BO$100</definedName>
    <definedName name="Trayport_Pr_Ask_10600094_10600003_3000122">'predicted levels'!$BO$37</definedName>
    <definedName name="Trayport_Pr_Ask_10600094_10600003_3000122_3000123">'predicted levels'!$BO$101</definedName>
    <definedName name="Trayport_Pr_Ask_10600094_10600003_3000123">'predicted levels'!$BO$38</definedName>
    <definedName name="Trayport_Pr_Ask_10600094_10600003_3000123_3000124">'predicted levels'!$BO$102</definedName>
    <definedName name="Trayport_Pr_Ask_10600094_10600003_3000124">'predicted levels'!$BO$39</definedName>
    <definedName name="Trayport_Pr_Ask_10600094_10600003_3000124_3000125">'predicted levels'!$BO$103</definedName>
    <definedName name="Trayport_Pr_Ask_10600094_10600003_3000125">'predicted levels'!$BO$40</definedName>
    <definedName name="Trayport_Pr_Ask_10600094_10600003_3000125_3000126">'predicted levels'!$BO$104</definedName>
    <definedName name="Trayport_Pr_Ask_10600094_10600003_3000126">'predicted levels'!$BO$41</definedName>
    <definedName name="Trayport_Pr_Ask_10600094_10600003_3000126_3000127">'predicted levels'!$BO$105</definedName>
    <definedName name="Trayport_Pr_Ask_10600094_10600003_3000127">'predicted levels'!$BO$42</definedName>
    <definedName name="Trayport_Pr_Ask_10600094_10600003_3000127_3000128">'predicted levels'!$BO$106</definedName>
    <definedName name="Trayport_Pr_Ask_10600094_10600003_3000128">'predicted levels'!$BO$43</definedName>
    <definedName name="Trayport_Pr_Ask_10600094_10600003_3000128_3000129">'predicted levels'!$BO$107</definedName>
    <definedName name="Trayport_Pr_Ask_10600094_10600003_3000129">'predicted levels'!$BO$44</definedName>
    <definedName name="Trayport_Pr_Ask_10600094_10600003_3000129_3000130">'predicted levels'!$BO$108</definedName>
    <definedName name="Trayport_Pr_Ask_10600094_10600003_3000130">'predicted levels'!$BO$45</definedName>
    <definedName name="Trayport_Pr_Ask_10600094_10600003_3000130_3000131">'predicted levels'!$BO$109</definedName>
    <definedName name="Trayport_Pr_Ask_10600094_10600003_3000131">'predicted levels'!$BO$46</definedName>
    <definedName name="Trayport_Pr_Ask_10600094_10600003_3000132">'predicted levels'!$BO$47</definedName>
    <definedName name="Trayport_Pr_Ask_10600094_10600003_3000133">'predicted levels'!$BO$48</definedName>
    <definedName name="Trayport_Pr_Ask_10600094_10600003_3000134">'predicted levels'!$BO$49</definedName>
    <definedName name="Trayport_Pr_Ask_10600094_10600003_3000135">'predicted levels'!$BO$50</definedName>
    <definedName name="Trayport_Pr_Ask_10600094_10600003_3000136">'predicted levels'!$BO$51</definedName>
    <definedName name="Trayport_Pr_Ask_10600094_10600003_3000137">'predicted levels'!$BO$52</definedName>
    <definedName name="Trayport_Pr_Ask_10600094_10600003_3000138">'predicted levels'!$BO$53</definedName>
    <definedName name="Trayport_Pr_Ask_10600094_10600003_3000139">'predicted levels'!$BO$54</definedName>
    <definedName name="Trayport_Pr_Ask_10600094_10600003_3000140">'predicted levels'!$BO$55</definedName>
    <definedName name="Trayport_Pr_Ask_10600094_10600003_3000141">'predicted levels'!$BO$56</definedName>
    <definedName name="Trayport_Pr_Ask_10600094_10600003_3000142">'predicted levels'!$BO$57</definedName>
    <definedName name="Trayport_Pr_Ask_10600094_10600003_3000143">'predicted levels'!$BO$58</definedName>
    <definedName name="Trayport_Pr_Ask_10600094_10600003_3000144">'predicted levels'!$BO$59</definedName>
    <definedName name="Trayport_Pr_Ask_10600094_10600004_4000133">'predicted levels'!$BR$10</definedName>
    <definedName name="Trayport_Pr_Ask_10600094_10600004_4000133_4000134">'predicted levels'!$BR$74</definedName>
    <definedName name="Trayport_Pr_Ask_10600094_10600004_4000134">'predicted levels'!$BR$11</definedName>
    <definedName name="Trayport_Pr_Ask_10600094_10600004_4000134_4000135">'predicted levels'!$BR$75</definedName>
    <definedName name="Trayport_Pr_Ask_10600094_10600004_4000135">'predicted levels'!$BR$12</definedName>
    <definedName name="Trayport_Pr_Ask_10600094_10600004_4000135_4000136">'predicted levels'!$BR$76</definedName>
    <definedName name="Trayport_Pr_Ask_10600094_10600004_4000136">'predicted levels'!$BR$13</definedName>
    <definedName name="Trayport_Pr_Ask_10600094_10600004_4000136_4000137">'predicted levels'!$BR$77</definedName>
    <definedName name="Trayport_Pr_Ask_10600094_10600004_4000137">'predicted levels'!$BR$14</definedName>
    <definedName name="Trayport_Pr_Ask_10600094_10600004_4000137_4000138">'predicted levels'!$BR$78</definedName>
    <definedName name="Trayport_Pr_Ask_10600094_10600004_4000138">'predicted levels'!$BR$15</definedName>
    <definedName name="Trayport_Pr_Ask_10600094_10600004_4000138_4000139">'predicted levels'!$BR$79</definedName>
    <definedName name="Trayport_Pr_Ask_10600094_10600004_4000139">'predicted levels'!$BR$16</definedName>
    <definedName name="Trayport_Pr_Ask_10600094_10600004_4000139_4000140">'predicted levels'!$BR$80</definedName>
    <definedName name="Trayport_Pr_Ask_10600094_10600004_4000140">'predicted levels'!$BR$17</definedName>
    <definedName name="Trayport_Pr_Ask_10600094_10600004_4000140_4000141">'predicted levels'!$BR$81</definedName>
    <definedName name="Trayport_Pr_Ask_10600094_10600004_4000141">'predicted levels'!$BR$18</definedName>
    <definedName name="Trayport_Pr_Ask_10600094_10600004_4000141_4000142">'predicted levels'!$BR$82</definedName>
    <definedName name="Trayport_Pr_Ask_10600094_10600004_4000142">'predicted levels'!$BR$19</definedName>
    <definedName name="Trayport_Pr_Ask_10600094_10600004_4000142_4000143">'predicted levels'!$BR$83</definedName>
    <definedName name="Trayport_Pr_Ask_10600094_10600004_4000143">'predicted levels'!$BR$20</definedName>
    <definedName name="Trayport_Pr_Ask_10600094_10600004_4000143_4000144">'predicted levels'!$BR$84</definedName>
    <definedName name="Trayport_Pr_Ask_10600094_10600004_4000144">'predicted levels'!$BR$21</definedName>
    <definedName name="Trayport_Pr_Ask_10600094_10600004_4000144_4000145">'predicted levels'!$BR$85</definedName>
    <definedName name="Trayport_Pr_Ask_10600094_10600004_4000145">'predicted levels'!$BR$22</definedName>
    <definedName name="Trayport_Pr_Ask_10600094_10600004_4000145_4000146">'predicted levels'!$BR$86</definedName>
    <definedName name="Trayport_Pr_Ask_10600094_10600004_4000146">'predicted levels'!$BR$23</definedName>
    <definedName name="Trayport_Pr_Ask_10600094_10600004_4000146_4000147">'predicted levels'!$BR$87</definedName>
    <definedName name="Trayport_Pr_Ask_10600094_10600004_4000147">'predicted levels'!$BR$24</definedName>
    <definedName name="Trayport_Pr_Ask_10600094_10600004_4000147_4000148">'predicted levels'!$BR$88</definedName>
    <definedName name="Trayport_Pr_Ask_10600094_10600004_4000148">'predicted levels'!$BR$25</definedName>
    <definedName name="Trayport_Pr_Ask_10600094_10600007_7000209">'predicted levels'!$BU$10</definedName>
    <definedName name="Trayport_Pr_Ask_10600094_10600007_7000209_7000210">'predicted levels'!$BU$74</definedName>
    <definedName name="Trayport_Pr_Ask_10600094_10600007_7000210">'predicted levels'!$BU$11</definedName>
    <definedName name="Trayport_Pr_Ask_10600094_10600007_7000210_7000211">'predicted levels'!$BU$75</definedName>
    <definedName name="Trayport_Pr_Ask_10600094_10600007_7000211">'predicted levels'!$BU$12</definedName>
    <definedName name="Trayport_Pr_Ask_10600094_10600007_7000211_7000212">'predicted levels'!$BU$76</definedName>
    <definedName name="Trayport_Pr_Ask_10600094_10600007_7000212">'predicted levels'!$BU$13</definedName>
    <definedName name="Trayport_Pr_Ask_10600094_10600007_7000212_7000213">'predicted levels'!$BU$77</definedName>
    <definedName name="Trayport_Pr_Ask_10600094_10600007_7000213">'predicted levels'!$BU$14</definedName>
    <definedName name="Trayport_Pr_Bid_10600094_10600003_3000095">'predicted levels'!$BN$10</definedName>
    <definedName name="Trayport_Pr_Bid_10600094_10600003_3000095_3000096">'predicted levels'!$BN$74</definedName>
    <definedName name="Trayport_Pr_Bid_10600094_10600003_3000096">'predicted levels'!$BN$11</definedName>
    <definedName name="Trayport_Pr_Bid_10600094_10600003_3000096_3000097">'predicted levels'!$BN$75</definedName>
    <definedName name="Trayport_Pr_Bid_10600094_10600003_3000097">'predicted levels'!$BN$12</definedName>
    <definedName name="Trayport_Pr_Bid_10600094_10600003_3000097_3000098">'predicted levels'!$BN$76</definedName>
    <definedName name="Trayport_Pr_Bid_10600094_10600003_3000098">'predicted levels'!$BN$13</definedName>
    <definedName name="Trayport_Pr_Bid_10600094_10600003_3000098_3000099">'predicted levels'!$BN$77</definedName>
    <definedName name="Trayport_Pr_Bid_10600094_10600003_3000099">'predicted levels'!$BN$14</definedName>
    <definedName name="Trayport_Pr_Bid_10600094_10600003_3000099_3000100">'predicted levels'!$BN$78</definedName>
    <definedName name="Trayport_Pr_Bid_10600094_10600003_3000100">'predicted levels'!$BN$15</definedName>
    <definedName name="Trayport_Pr_Bid_10600094_10600003_3000100_3000101">'predicted levels'!$BN$79</definedName>
    <definedName name="Trayport_Pr_Bid_10600094_10600003_3000101">'predicted levels'!$BN$16</definedName>
    <definedName name="Trayport_Pr_Bid_10600094_10600003_3000101_3000102">'predicted levels'!$BN$80</definedName>
    <definedName name="Trayport_Pr_Bid_10600094_10600003_3000102">'predicted levels'!$BN$17</definedName>
    <definedName name="Trayport_Pr_Bid_10600094_10600003_3000102_3000103">'predicted levels'!$BN$81</definedName>
    <definedName name="Trayport_Pr_Bid_10600094_10600003_3000103">'predicted levels'!$BN$18</definedName>
    <definedName name="Trayport_Pr_Bid_10600094_10600003_3000103_3000104">'predicted levels'!$BN$82</definedName>
    <definedName name="Trayport_Pr_Bid_10600094_10600003_3000104">'predicted levels'!$BN$19</definedName>
    <definedName name="Trayport_Pr_Bid_10600094_10600003_3000104_3000105">'predicted levels'!$BN$83</definedName>
    <definedName name="Trayport_Pr_Bid_10600094_10600003_3000105">'predicted levels'!$BN$20</definedName>
    <definedName name="Trayport_Pr_Bid_10600094_10600003_3000105_3000106">'predicted levels'!$BN$84</definedName>
    <definedName name="Trayport_Pr_Bid_10600094_10600003_3000106">'predicted levels'!$BN$21</definedName>
    <definedName name="Trayport_Pr_Bid_10600094_10600003_3000106_3000107">'predicted levels'!$BN$85</definedName>
    <definedName name="Trayport_Pr_Bid_10600094_10600003_3000107">'predicted levels'!$BN$22</definedName>
    <definedName name="Trayport_Pr_Bid_10600094_10600003_3000107_3000108">'predicted levels'!$BN$86</definedName>
    <definedName name="Trayport_Pr_Bid_10600094_10600003_3000108">'predicted levels'!$BN$23</definedName>
    <definedName name="Trayport_Pr_Bid_10600094_10600003_3000108_3000109">'predicted levels'!$BN$87</definedName>
    <definedName name="Trayport_Pr_Bid_10600094_10600003_3000109">'predicted levels'!$BN$24</definedName>
    <definedName name="Trayport_Pr_Bid_10600094_10600003_3000109_3000110">'predicted levels'!$BN$88</definedName>
    <definedName name="Trayport_Pr_Bid_10600094_10600003_3000110">'predicted levels'!$BN$25</definedName>
    <definedName name="Trayport_Pr_Bid_10600094_10600003_3000110_3000111">'predicted levels'!$BN$89</definedName>
    <definedName name="Trayport_Pr_Bid_10600094_10600003_3000111">'predicted levels'!$BN$26</definedName>
    <definedName name="Trayport_Pr_Bid_10600094_10600003_3000111_3000112">'predicted levels'!$BN$90</definedName>
    <definedName name="Trayport_Pr_Bid_10600094_10600003_3000112">'predicted levels'!$BN$27</definedName>
    <definedName name="Trayport_Pr_Bid_10600094_10600003_3000112_3000113">'predicted levels'!$BN$91</definedName>
    <definedName name="Trayport_Pr_Bid_10600094_10600003_3000113">'predicted levels'!$BN$28</definedName>
    <definedName name="Trayport_Pr_Bid_10600094_10600003_3000113_3000114">'predicted levels'!$BN$92</definedName>
    <definedName name="Trayport_Pr_Bid_10600094_10600003_3000114">'predicted levels'!$BN$29</definedName>
    <definedName name="Trayport_Pr_Bid_10600094_10600003_3000114_3000115">'predicted levels'!$BN$93</definedName>
    <definedName name="Trayport_Pr_Bid_10600094_10600003_3000115">'predicted levels'!$BN$30</definedName>
    <definedName name="Trayport_Pr_Bid_10600094_10600003_3000115_3000116">'predicted levels'!$BN$94</definedName>
    <definedName name="Trayport_Pr_Bid_10600094_10600003_3000116">'predicted levels'!$BN$31</definedName>
    <definedName name="Trayport_Pr_Bid_10600094_10600003_3000116_3000117">'predicted levels'!$BN$95</definedName>
    <definedName name="Trayport_Pr_Bid_10600094_10600003_3000117">'predicted levels'!$BN$32</definedName>
    <definedName name="Trayport_Pr_Bid_10600094_10600003_3000117_3000118">'predicted levels'!$BN$96</definedName>
    <definedName name="Trayport_Pr_Bid_10600094_10600003_3000118">'predicted levels'!$BN$33</definedName>
    <definedName name="Trayport_Pr_Bid_10600094_10600003_3000118_3000119">'predicted levels'!$BN$97</definedName>
    <definedName name="Trayport_Pr_Bid_10600094_10600003_3000119">'predicted levels'!$BN$34</definedName>
    <definedName name="Trayport_Pr_Bid_10600094_10600003_3000119_3000120">'predicted levels'!$BN$98</definedName>
    <definedName name="Trayport_Pr_Bid_10600094_10600003_3000120">'predicted levels'!$BN$35</definedName>
    <definedName name="Trayport_Pr_Bid_10600094_10600003_3000120_3000121">'predicted levels'!$BN$99</definedName>
    <definedName name="Trayport_Pr_Bid_10600094_10600003_3000121">'predicted levels'!$BN$36</definedName>
    <definedName name="Trayport_Pr_Bid_10600094_10600003_3000121_3000122">'predicted levels'!$BN$100</definedName>
    <definedName name="Trayport_Pr_Bid_10600094_10600003_3000122">'predicted levels'!$BN$37</definedName>
    <definedName name="Trayport_Pr_Bid_10600094_10600003_3000122_3000123">'predicted levels'!$BN$101</definedName>
    <definedName name="Trayport_Pr_Bid_10600094_10600003_3000123">'predicted levels'!$BN$38</definedName>
    <definedName name="Trayport_Pr_Bid_10600094_10600003_3000123_3000124">'predicted levels'!$BN$102</definedName>
    <definedName name="Trayport_Pr_Bid_10600094_10600003_3000124">'predicted levels'!$BN$39</definedName>
    <definedName name="Trayport_Pr_Bid_10600094_10600003_3000124_3000125">'predicted levels'!$BN$103</definedName>
    <definedName name="Trayport_Pr_Bid_10600094_10600003_3000125">'predicted levels'!$BN$40</definedName>
    <definedName name="Trayport_Pr_Bid_10600094_10600003_3000125_3000126">'predicted levels'!$BN$104</definedName>
    <definedName name="Trayport_Pr_Bid_10600094_10600003_3000126">'predicted levels'!$BN$41</definedName>
    <definedName name="Trayport_Pr_Bid_10600094_10600003_3000126_3000127">'predicted levels'!$BN$105</definedName>
    <definedName name="Trayport_Pr_Bid_10600094_10600003_3000127">'predicted levels'!$BN$42</definedName>
    <definedName name="Trayport_Pr_Bid_10600094_10600003_3000127_3000128">'predicted levels'!$BN$106</definedName>
    <definedName name="Trayport_Pr_Bid_10600094_10600003_3000128">'predicted levels'!$BN$43</definedName>
    <definedName name="Trayport_Pr_Bid_10600094_10600003_3000128_3000129">'predicted levels'!$BN$107</definedName>
    <definedName name="Trayport_Pr_Bid_10600094_10600003_3000129">'predicted levels'!$BN$44</definedName>
    <definedName name="Trayport_Pr_Bid_10600094_10600003_3000129_3000130">'predicted levels'!$BN$108</definedName>
    <definedName name="Trayport_Pr_Bid_10600094_10600003_3000130">'predicted levels'!$BN$45</definedName>
    <definedName name="Trayport_Pr_Bid_10600094_10600003_3000130_3000131">'predicted levels'!$BN$109</definedName>
    <definedName name="Trayport_Pr_Bid_10600094_10600003_3000131">'predicted levels'!$BN$46</definedName>
    <definedName name="Trayport_Pr_Bid_10600094_10600003_3000132">'predicted levels'!$BN$47</definedName>
    <definedName name="Trayport_Pr_Bid_10600094_10600003_3000133">'predicted levels'!$BN$48</definedName>
    <definedName name="Trayport_Pr_Bid_10600094_10600003_3000134">'predicted levels'!$BN$49</definedName>
    <definedName name="Trayport_Pr_Bid_10600094_10600003_3000135">'predicted levels'!$BN$50</definedName>
    <definedName name="Trayport_Pr_Bid_10600094_10600003_3000136">'predicted levels'!$BN$51</definedName>
    <definedName name="Trayport_Pr_Bid_10600094_10600003_3000137">'predicted levels'!$BN$52</definedName>
    <definedName name="Trayport_Pr_Bid_10600094_10600003_3000138">'predicted levels'!$BN$53</definedName>
    <definedName name="Trayport_Pr_Bid_10600094_10600003_3000139">'predicted levels'!$BN$54</definedName>
    <definedName name="Trayport_Pr_Bid_10600094_10600003_3000140">'predicted levels'!$BN$55</definedName>
    <definedName name="Trayport_Pr_Bid_10600094_10600003_3000141">'predicted levels'!$BN$56</definedName>
    <definedName name="Trayport_Pr_Bid_10600094_10600003_3000142">'predicted levels'!$BN$57</definedName>
    <definedName name="Trayport_Pr_Bid_10600094_10600003_3000143">'predicted levels'!$BN$58</definedName>
    <definedName name="Trayport_Pr_Bid_10600094_10600003_3000144">'predicted levels'!$BN$59</definedName>
    <definedName name="Trayport_Pr_Bid_10600094_10600004_4000133">'predicted levels'!$BQ$10</definedName>
    <definedName name="Trayport_Pr_Bid_10600094_10600004_4000133_4000134">'predicted levels'!$BQ$74</definedName>
    <definedName name="Trayport_Pr_Bid_10600094_10600004_4000134">'predicted levels'!$BQ$11</definedName>
    <definedName name="Trayport_Pr_Bid_10600094_10600004_4000134_4000135">'predicted levels'!$BQ$75</definedName>
    <definedName name="Trayport_Pr_Bid_10600094_10600004_4000135">'predicted levels'!$BQ$12</definedName>
    <definedName name="Trayport_Pr_Bid_10600094_10600004_4000135_4000136">'predicted levels'!$BQ$76</definedName>
    <definedName name="Trayport_Pr_Bid_10600094_10600004_4000136">'predicted levels'!$BQ$13</definedName>
    <definedName name="Trayport_Pr_Bid_10600094_10600004_4000136_4000137">'predicted levels'!$BQ$77</definedName>
    <definedName name="Trayport_Pr_Bid_10600094_10600004_4000137">'predicted levels'!$BQ$14</definedName>
    <definedName name="Trayport_Pr_Bid_10600094_10600004_4000137_4000138">'predicted levels'!$BQ$78</definedName>
    <definedName name="Trayport_Pr_Bid_10600094_10600004_4000138">'predicted levels'!$BQ$15</definedName>
    <definedName name="Trayport_Pr_Bid_10600094_10600004_4000138_4000139">'predicted levels'!$BQ$79</definedName>
    <definedName name="Trayport_Pr_Bid_10600094_10600004_4000139">'predicted levels'!$BQ$16</definedName>
    <definedName name="Trayport_Pr_Bid_10600094_10600004_4000139_4000140">'predicted levels'!$BQ$80</definedName>
    <definedName name="Trayport_Pr_Bid_10600094_10600004_4000140">'predicted levels'!$BQ$17</definedName>
    <definedName name="Trayport_Pr_Bid_10600094_10600004_4000140_4000141">'predicted levels'!$BQ$81</definedName>
    <definedName name="Trayport_Pr_Bid_10600094_10600004_4000141">'predicted levels'!$BQ$18</definedName>
    <definedName name="Trayport_Pr_Bid_10600094_10600004_4000141_4000142">'predicted levels'!$BQ$82</definedName>
    <definedName name="Trayport_Pr_Bid_10600094_10600004_4000142">'predicted levels'!$BQ$19</definedName>
    <definedName name="Trayport_Pr_Bid_10600094_10600004_4000142_4000143">'predicted levels'!$BQ$83</definedName>
    <definedName name="Trayport_Pr_Bid_10600094_10600004_4000143">'predicted levels'!$BQ$20</definedName>
    <definedName name="Trayport_Pr_Bid_10600094_10600004_4000143_4000144">'predicted levels'!$BQ$84</definedName>
    <definedName name="Trayport_Pr_Bid_10600094_10600004_4000144">'predicted levels'!$BQ$21</definedName>
    <definedName name="Trayport_Pr_Bid_10600094_10600004_4000144_4000145">'predicted levels'!$BQ$85</definedName>
    <definedName name="Trayport_Pr_Bid_10600094_10600004_4000145">'predicted levels'!$BQ$22</definedName>
    <definedName name="Trayport_Pr_Bid_10600094_10600004_4000145_4000146">'predicted levels'!$BQ$86</definedName>
    <definedName name="Trayport_Pr_Bid_10600094_10600004_4000146">'predicted levels'!$BQ$23</definedName>
    <definedName name="Trayport_Pr_Bid_10600094_10600004_4000146_4000147">'predicted levels'!$BQ$87</definedName>
    <definedName name="Trayport_Pr_Bid_10600094_10600004_4000147">'predicted levels'!$BQ$24</definedName>
    <definedName name="Trayport_Pr_Bid_10600094_10600004_4000147_4000148">'predicted levels'!$BQ$88</definedName>
    <definedName name="Trayport_Pr_Bid_10600094_10600004_4000148">'predicted levels'!$BQ$25</definedName>
    <definedName name="Trayport_Pr_Bid_10600094_10600007_7000209">'predicted levels'!$BT$10</definedName>
    <definedName name="Trayport_Pr_Bid_10600094_10600007_7000209_7000210">'predicted levels'!$BT$74</definedName>
    <definedName name="Trayport_Pr_Bid_10600094_10600007_7000210">'predicted levels'!$BT$11</definedName>
    <definedName name="Trayport_Pr_Bid_10600094_10600007_7000210_7000211">'predicted levels'!$BT$75</definedName>
    <definedName name="Trayport_Pr_Bid_10600094_10600007_7000211">'predicted levels'!$BT$12</definedName>
    <definedName name="Trayport_Pr_Bid_10600094_10600007_7000211_7000212">'predicted levels'!$BT$76</definedName>
    <definedName name="Trayport_Pr_Bid_10600094_10600007_7000212">'predicted levels'!$BT$13</definedName>
    <definedName name="Trayport_Pr_Bid_10600094_10600007_7000212_7000213">'predicted levels'!$BT$77</definedName>
    <definedName name="Trayport_Pr_Bid_10600094_10600007_7000213">'predicted levels'!$BT$14</definedName>
    <definedName name="Trayport_Qty_Ask_10600094_10600003_3000095">'predicted levels'!$CA$10</definedName>
    <definedName name="Trayport_Qty_Ask_10600094_10600003_3000095_3000096">'predicted levels'!$CA$74</definedName>
    <definedName name="Trayport_Qty_Ask_10600094_10600003_3000096">'predicted levels'!$CA$11</definedName>
    <definedName name="Trayport_Qty_Ask_10600094_10600003_3000096_3000097">'predicted levels'!$CA$75</definedName>
    <definedName name="Trayport_Qty_Ask_10600094_10600003_3000097">'predicted levels'!$CA$12</definedName>
    <definedName name="Trayport_Qty_Ask_10600094_10600003_3000097_3000098">'predicted levels'!$CA$76</definedName>
    <definedName name="Trayport_Qty_Ask_10600094_10600003_3000098">'predicted levels'!$CA$13</definedName>
    <definedName name="Trayport_Qty_Ask_10600094_10600003_3000098_3000099">'predicted levels'!$CA$77</definedName>
    <definedName name="Trayport_Qty_Ask_10600094_10600003_3000099">'predicted levels'!$CA$14</definedName>
    <definedName name="Trayport_Qty_Ask_10600094_10600003_3000099_3000100">'predicted levels'!$CA$78</definedName>
    <definedName name="Trayport_Qty_Ask_10600094_10600003_3000100">'predicted levels'!$CA$15</definedName>
    <definedName name="Trayport_Qty_Ask_10600094_10600003_3000100_3000101">'predicted levels'!$CA$79</definedName>
    <definedName name="Trayport_Qty_Ask_10600094_10600003_3000101">'predicted levels'!$CA$16</definedName>
    <definedName name="Trayport_Qty_Ask_10600094_10600003_3000101_3000102">'predicted levels'!$CA$80</definedName>
    <definedName name="Trayport_Qty_Ask_10600094_10600003_3000102">'predicted levels'!$CA$17</definedName>
    <definedName name="Trayport_Qty_Ask_10600094_10600003_3000102_3000103">'predicted levels'!$CA$81</definedName>
    <definedName name="Trayport_Qty_Ask_10600094_10600003_3000103">'predicted levels'!$CA$18</definedName>
    <definedName name="Trayport_Qty_Ask_10600094_10600003_3000103_3000104">'predicted levels'!$CA$82</definedName>
    <definedName name="Trayport_Qty_Ask_10600094_10600003_3000104">'predicted levels'!$CA$19</definedName>
    <definedName name="Trayport_Qty_Ask_10600094_10600003_3000104_3000105">'predicted levels'!$CA$83</definedName>
    <definedName name="Trayport_Qty_Ask_10600094_10600003_3000105">'predicted levels'!$CA$20</definedName>
    <definedName name="Trayport_Qty_Ask_10600094_10600003_3000105_3000106">'predicted levels'!$CA$84</definedName>
    <definedName name="Trayport_Qty_Ask_10600094_10600003_3000106">'predicted levels'!$CA$21</definedName>
    <definedName name="Trayport_Qty_Ask_10600094_10600003_3000106_3000107">'predicted levels'!$CA$85</definedName>
    <definedName name="Trayport_Qty_Ask_10600094_10600003_3000107">'predicted levels'!$CA$22</definedName>
    <definedName name="Trayport_Qty_Ask_10600094_10600003_3000107_3000108">'predicted levels'!$CA$86</definedName>
    <definedName name="Trayport_Qty_Ask_10600094_10600003_3000108">'predicted levels'!$CA$23</definedName>
    <definedName name="Trayport_Qty_Ask_10600094_10600003_3000108_3000109">'predicted levels'!$CA$87</definedName>
    <definedName name="Trayport_Qty_Ask_10600094_10600003_3000109">'predicted levels'!$CA$24</definedName>
    <definedName name="Trayport_Qty_Ask_10600094_10600003_3000109_3000110">'predicted levels'!$CA$88</definedName>
    <definedName name="Trayport_Qty_Ask_10600094_10600003_3000110">'predicted levels'!$CA$25</definedName>
    <definedName name="Trayport_Qty_Ask_10600094_10600003_3000110_3000111">'predicted levels'!$CA$89</definedName>
    <definedName name="Trayport_Qty_Ask_10600094_10600003_3000111">'predicted levels'!$CA$26</definedName>
    <definedName name="Trayport_Qty_Ask_10600094_10600003_3000111_3000112">'predicted levels'!$CA$90</definedName>
    <definedName name="Trayport_Qty_Ask_10600094_10600003_3000112">'predicted levels'!$CA$27</definedName>
    <definedName name="Trayport_Qty_Ask_10600094_10600003_3000112_3000113">'predicted levels'!$CA$91</definedName>
    <definedName name="Trayport_Qty_Ask_10600094_10600003_3000113">'predicted levels'!$CA$28</definedName>
    <definedName name="Trayport_Qty_Ask_10600094_10600003_3000113_3000114">'predicted levels'!$CA$92</definedName>
    <definedName name="Trayport_Qty_Ask_10600094_10600003_3000114">'predicted levels'!$CA$29</definedName>
    <definedName name="Trayport_Qty_Ask_10600094_10600003_3000114_3000115">'predicted levels'!$CA$93</definedName>
    <definedName name="Trayport_Qty_Ask_10600094_10600003_3000115">'predicted levels'!$CA$30</definedName>
    <definedName name="Trayport_Qty_Ask_10600094_10600003_3000115_3000116">'predicted levels'!$CA$94</definedName>
    <definedName name="Trayport_Qty_Ask_10600094_10600003_3000116">'predicted levels'!$CA$31</definedName>
    <definedName name="Trayport_Qty_Ask_10600094_10600003_3000116_3000117">'predicted levels'!$CA$95</definedName>
    <definedName name="Trayport_Qty_Ask_10600094_10600003_3000117">'predicted levels'!$CA$32</definedName>
    <definedName name="Trayport_Qty_Ask_10600094_10600003_3000117_3000118">'predicted levels'!$CA$96</definedName>
    <definedName name="Trayport_Qty_Ask_10600094_10600003_3000118">'predicted levels'!$CA$33</definedName>
    <definedName name="Trayport_Qty_Ask_10600094_10600003_3000118_3000119">'predicted levels'!$CA$97</definedName>
    <definedName name="Trayport_Qty_Ask_10600094_10600003_3000119">'predicted levels'!$CA$34</definedName>
    <definedName name="Trayport_Qty_Ask_10600094_10600003_3000119_3000120">'predicted levels'!$CA$98</definedName>
    <definedName name="Trayport_Qty_Ask_10600094_10600003_3000120">'predicted levels'!$CA$35</definedName>
    <definedName name="Trayport_Qty_Ask_10600094_10600003_3000120_3000121">'predicted levels'!$CA$99</definedName>
    <definedName name="Trayport_Qty_Ask_10600094_10600003_3000121">'predicted levels'!$CA$36</definedName>
    <definedName name="Trayport_Qty_Ask_10600094_10600003_3000121_3000122">'predicted levels'!$CA$100</definedName>
    <definedName name="Trayport_Qty_Ask_10600094_10600003_3000122">'predicted levels'!$CA$37</definedName>
    <definedName name="Trayport_Qty_Ask_10600094_10600003_3000122_3000123">'predicted levels'!$CA$101</definedName>
    <definedName name="Trayport_Qty_Ask_10600094_10600003_3000123">'predicted levels'!$CA$38</definedName>
    <definedName name="Trayport_Qty_Ask_10600094_10600003_3000123_3000124">'predicted levels'!$CA$102</definedName>
    <definedName name="Trayport_Qty_Ask_10600094_10600003_3000124">'predicted levels'!$CA$39</definedName>
    <definedName name="Trayport_Qty_Ask_10600094_10600003_3000124_3000125">'predicted levels'!$CA$103</definedName>
    <definedName name="Trayport_Qty_Ask_10600094_10600003_3000125">'predicted levels'!$CA$40</definedName>
    <definedName name="Trayport_Qty_Ask_10600094_10600003_3000125_3000126">'predicted levels'!$CA$104</definedName>
    <definedName name="Trayport_Qty_Ask_10600094_10600003_3000126">'predicted levels'!$CA$41</definedName>
    <definedName name="Trayport_Qty_Ask_10600094_10600003_3000126_3000127">'predicted levels'!$CA$105</definedName>
    <definedName name="Trayport_Qty_Ask_10600094_10600003_3000127">'predicted levels'!$CA$42</definedName>
    <definedName name="Trayport_Qty_Ask_10600094_10600003_3000127_3000128">'predicted levels'!$CA$106</definedName>
    <definedName name="Trayport_Qty_Ask_10600094_10600003_3000128">'predicted levels'!$CA$43</definedName>
    <definedName name="Trayport_Qty_Ask_10600094_10600003_3000128_3000129">'predicted levels'!$CA$107</definedName>
    <definedName name="Trayport_Qty_Ask_10600094_10600003_3000129">'predicted levels'!$CA$44</definedName>
    <definedName name="Trayport_Qty_Ask_10600094_10600003_3000129_3000130">'predicted levels'!$CA$108</definedName>
    <definedName name="Trayport_Qty_Ask_10600094_10600003_3000130">'predicted levels'!$CA$45</definedName>
    <definedName name="Trayport_Qty_Ask_10600094_10600003_3000130_3000131">'predicted levels'!$CA$109</definedName>
    <definedName name="Trayport_Qty_Ask_10600094_10600003_3000131">'predicted levels'!$CA$46</definedName>
    <definedName name="Trayport_Qty_Ask_10600094_10600003_3000132">'predicted levels'!$CA$47</definedName>
    <definedName name="Trayport_Qty_Ask_10600094_10600003_3000133">'predicted levels'!$CA$48</definedName>
    <definedName name="Trayport_Qty_Ask_10600094_10600003_3000134">'predicted levels'!$CA$49</definedName>
    <definedName name="Trayport_Qty_Ask_10600094_10600003_3000135">'predicted levels'!$CA$50</definedName>
    <definedName name="Trayport_Qty_Ask_10600094_10600003_3000136">'predicted levels'!$CA$51</definedName>
    <definedName name="Trayport_Qty_Ask_10600094_10600003_3000137">'predicted levels'!$CA$52</definedName>
    <definedName name="Trayport_Qty_Ask_10600094_10600003_3000138">'predicted levels'!$CA$53</definedName>
    <definedName name="Trayport_Qty_Ask_10600094_10600003_3000139">'predicted levels'!$CA$54</definedName>
    <definedName name="Trayport_Qty_Ask_10600094_10600003_3000140">'predicted levels'!$CA$55</definedName>
    <definedName name="Trayport_Qty_Ask_10600094_10600003_3000141">'predicted levels'!$CA$56</definedName>
    <definedName name="Trayport_Qty_Ask_10600094_10600003_3000142">'predicted levels'!$CA$57</definedName>
    <definedName name="Trayport_Qty_Ask_10600094_10600003_3000143">'predicted levels'!$CA$58</definedName>
    <definedName name="Trayport_Qty_Ask_10600094_10600003_3000144">'predicted levels'!$CA$59</definedName>
    <definedName name="Trayport_Qty_Ask_10600094_10600004_4000133">'predicted levels'!$CB$10</definedName>
    <definedName name="Trayport_Qty_Ask_10600094_10600004_4000133_4000134">'predicted levels'!$CB$74</definedName>
    <definedName name="Trayport_Qty_Ask_10600094_10600004_4000134">'predicted levels'!$CB$11</definedName>
    <definedName name="Trayport_Qty_Ask_10600094_10600004_4000134_4000135">'predicted levels'!$CB$75</definedName>
    <definedName name="Trayport_Qty_Ask_10600094_10600004_4000135">'predicted levels'!$CB$12</definedName>
    <definedName name="Trayport_Qty_Ask_10600094_10600004_4000135_4000136">'predicted levels'!$CB$76</definedName>
    <definedName name="Trayport_Qty_Ask_10600094_10600004_4000136">'predicted levels'!$CB$13</definedName>
    <definedName name="Trayport_Qty_Ask_10600094_10600004_4000136_4000137">'predicted levels'!$CB$77</definedName>
    <definedName name="Trayport_Qty_Ask_10600094_10600004_4000137">'predicted levels'!$CB$14</definedName>
    <definedName name="Trayport_Qty_Ask_10600094_10600004_4000137_4000138">'predicted levels'!$CB$78</definedName>
    <definedName name="Trayport_Qty_Ask_10600094_10600004_4000138">'predicted levels'!$CB$15</definedName>
    <definedName name="Trayport_Qty_Ask_10600094_10600004_4000138_4000139">'predicted levels'!$CB$79</definedName>
    <definedName name="Trayport_Qty_Ask_10600094_10600004_4000139">'predicted levels'!$CB$16</definedName>
    <definedName name="Trayport_Qty_Ask_10600094_10600004_4000139_4000140">'predicted levels'!$CB$80</definedName>
    <definedName name="Trayport_Qty_Ask_10600094_10600004_4000140">'predicted levels'!$CB$17</definedName>
    <definedName name="Trayport_Qty_Ask_10600094_10600004_4000140_4000141">'predicted levels'!$CB$81</definedName>
    <definedName name="Trayport_Qty_Ask_10600094_10600004_4000141">'predicted levels'!$CB$18</definedName>
    <definedName name="Trayport_Qty_Ask_10600094_10600004_4000141_4000142">'predicted levels'!$CB$82</definedName>
    <definedName name="Trayport_Qty_Ask_10600094_10600004_4000142">'predicted levels'!$CB$19</definedName>
    <definedName name="Trayport_Qty_Ask_10600094_10600004_4000142_4000143">'predicted levels'!$CB$83</definedName>
    <definedName name="Trayport_Qty_Ask_10600094_10600004_4000143">'predicted levels'!$CB$20</definedName>
    <definedName name="Trayport_Qty_Ask_10600094_10600004_4000143_4000144">'predicted levels'!$CB$84</definedName>
    <definedName name="Trayport_Qty_Ask_10600094_10600004_4000144">'predicted levels'!$CB$21</definedName>
    <definedName name="Trayport_Qty_Ask_10600094_10600004_4000144_4000145">'predicted levels'!$CB$85</definedName>
    <definedName name="Trayport_Qty_Ask_10600094_10600004_4000145">'predicted levels'!$CB$22</definedName>
    <definedName name="Trayport_Qty_Ask_10600094_10600004_4000145_4000146">'predicted levels'!$CB$86</definedName>
    <definedName name="Trayport_Qty_Ask_10600094_10600004_4000146">'predicted levels'!$CB$23</definedName>
    <definedName name="Trayport_Qty_Ask_10600094_10600004_4000146_4000147">'predicted levels'!$CB$87</definedName>
    <definedName name="Trayport_Qty_Ask_10600094_10600004_4000147">'predicted levels'!$CB$24</definedName>
    <definedName name="Trayport_Qty_Ask_10600094_10600004_4000147_4000148">'predicted levels'!$CB$88</definedName>
    <definedName name="Trayport_Qty_Ask_10600094_10600004_4000148">'predicted levels'!$CB$25</definedName>
    <definedName name="Trayport_Qty_Ask_10600094_10600007_7000209">'predicted levels'!$CC$10</definedName>
    <definedName name="Trayport_Qty_Ask_10600094_10600007_7000209_7000210">'predicted levels'!$CC$74</definedName>
    <definedName name="Trayport_Qty_Ask_10600094_10600007_7000210">'predicted levels'!$CC$11</definedName>
    <definedName name="Trayport_Qty_Ask_10600094_10600007_7000210_7000211">'predicted levels'!$CC$75</definedName>
    <definedName name="Trayport_Qty_Ask_10600094_10600007_7000211">'predicted levels'!$CC$12</definedName>
    <definedName name="Trayport_Qty_Ask_10600094_10600007_7000211_7000212">'predicted levels'!$CC$76</definedName>
    <definedName name="Trayport_Qty_Ask_10600094_10600007_7000212">'predicted levels'!$CC$13</definedName>
    <definedName name="Trayport_Qty_Ask_10600094_10600007_7000212_7000213">'predicted levels'!$CC$77</definedName>
    <definedName name="Trayport_Qty_Ask_10600094_10600007_7000213">'predicted levels'!$CC$14</definedName>
    <definedName name="Trayport_Qty_Bid_10600094_10600003_3000095">'predicted levels'!$BX$10</definedName>
    <definedName name="Trayport_Qty_Bid_10600094_10600003_3000095_3000096">'predicted levels'!$BX$74</definedName>
    <definedName name="Trayport_Qty_Bid_10600094_10600003_3000096">'predicted levels'!$BX$11</definedName>
    <definedName name="Trayport_Qty_Bid_10600094_10600003_3000096_3000097">'predicted levels'!$BX$75</definedName>
    <definedName name="Trayport_Qty_Bid_10600094_10600003_3000097">'predicted levels'!$BX$12</definedName>
    <definedName name="Trayport_Qty_Bid_10600094_10600003_3000097_3000098">'predicted levels'!$BX$76</definedName>
    <definedName name="Trayport_Qty_Bid_10600094_10600003_3000098">'predicted levels'!$BX$13</definedName>
    <definedName name="Trayport_Qty_Bid_10600094_10600003_3000098_3000099">'predicted levels'!$BX$77</definedName>
    <definedName name="Trayport_Qty_Bid_10600094_10600003_3000099">'predicted levels'!$BX$14</definedName>
    <definedName name="Trayport_Qty_Bid_10600094_10600003_3000099_3000100">'predicted levels'!$BX$78</definedName>
    <definedName name="Trayport_Qty_Bid_10600094_10600003_3000100">'predicted levels'!$BX$15</definedName>
    <definedName name="Trayport_Qty_Bid_10600094_10600003_3000100_3000101">'predicted levels'!$BX$79</definedName>
    <definedName name="Trayport_Qty_Bid_10600094_10600003_3000101">'predicted levels'!$BX$16</definedName>
    <definedName name="Trayport_Qty_Bid_10600094_10600003_3000101_3000102">'predicted levels'!$BX$80</definedName>
    <definedName name="Trayport_Qty_Bid_10600094_10600003_3000102">'predicted levels'!$BX$17</definedName>
    <definedName name="Trayport_Qty_Bid_10600094_10600003_3000102_3000103">'predicted levels'!$BX$81</definedName>
    <definedName name="Trayport_Qty_Bid_10600094_10600003_3000103">'predicted levels'!$BX$18</definedName>
    <definedName name="Trayport_Qty_Bid_10600094_10600003_3000103_3000104">'predicted levels'!$BX$82</definedName>
    <definedName name="Trayport_Qty_Bid_10600094_10600003_3000104">'predicted levels'!$BX$19</definedName>
    <definedName name="Trayport_Qty_Bid_10600094_10600003_3000104_3000105">'predicted levels'!$BX$83</definedName>
    <definedName name="Trayport_Qty_Bid_10600094_10600003_3000105">'predicted levels'!$BX$20</definedName>
    <definedName name="Trayport_Qty_Bid_10600094_10600003_3000105_3000106">'predicted levels'!$BX$84</definedName>
    <definedName name="Trayport_Qty_Bid_10600094_10600003_3000106">'predicted levels'!$BX$21</definedName>
    <definedName name="Trayport_Qty_Bid_10600094_10600003_3000106_3000107">'predicted levels'!$BX$85</definedName>
    <definedName name="Trayport_Qty_Bid_10600094_10600003_3000107">'predicted levels'!$BX$22</definedName>
    <definedName name="Trayport_Qty_Bid_10600094_10600003_3000107_3000108">'predicted levels'!$BX$86</definedName>
    <definedName name="Trayport_Qty_Bid_10600094_10600003_3000108">'predicted levels'!$BX$23</definedName>
    <definedName name="Trayport_Qty_Bid_10600094_10600003_3000108_3000109">'predicted levels'!$BX$87</definedName>
    <definedName name="Trayport_Qty_Bid_10600094_10600003_3000109">'predicted levels'!$BX$24</definedName>
    <definedName name="Trayport_Qty_Bid_10600094_10600003_3000109_3000110">'predicted levels'!$BX$88</definedName>
    <definedName name="Trayport_Qty_Bid_10600094_10600003_3000110">'predicted levels'!$BX$25</definedName>
    <definedName name="Trayport_Qty_Bid_10600094_10600003_3000110_3000111">'predicted levels'!$BX$89</definedName>
    <definedName name="Trayport_Qty_Bid_10600094_10600003_3000111">'predicted levels'!$BX$26</definedName>
    <definedName name="Trayport_Qty_Bid_10600094_10600003_3000111_3000112">'predicted levels'!$BX$90</definedName>
    <definedName name="Trayport_Qty_Bid_10600094_10600003_3000112">'predicted levels'!$BX$27</definedName>
    <definedName name="Trayport_Qty_Bid_10600094_10600003_3000112_3000113">'predicted levels'!$BX$91</definedName>
    <definedName name="Trayport_Qty_Bid_10600094_10600003_3000113">'predicted levels'!$BX$28</definedName>
    <definedName name="Trayport_Qty_Bid_10600094_10600003_3000113_3000114">'predicted levels'!$BX$92</definedName>
    <definedName name="Trayport_Qty_Bid_10600094_10600003_3000114">'predicted levels'!$BX$29</definedName>
    <definedName name="Trayport_Qty_Bid_10600094_10600003_3000114_3000115">'predicted levels'!$BX$93</definedName>
    <definedName name="Trayport_Qty_Bid_10600094_10600003_3000115">'predicted levels'!$BX$30</definedName>
    <definedName name="Trayport_Qty_Bid_10600094_10600003_3000115_3000116">'predicted levels'!$BX$94</definedName>
    <definedName name="Trayport_Qty_Bid_10600094_10600003_3000116">'predicted levels'!$BX$31</definedName>
    <definedName name="Trayport_Qty_Bid_10600094_10600003_3000116_3000117">'predicted levels'!$BX$95</definedName>
    <definedName name="Trayport_Qty_Bid_10600094_10600003_3000117">'predicted levels'!$BX$32</definedName>
    <definedName name="Trayport_Qty_Bid_10600094_10600003_3000117_3000118">'predicted levels'!$BX$96</definedName>
    <definedName name="Trayport_Qty_Bid_10600094_10600003_3000118">'predicted levels'!$BX$33</definedName>
    <definedName name="Trayport_Qty_Bid_10600094_10600003_3000118_3000119">'predicted levels'!$BX$97</definedName>
    <definedName name="Trayport_Qty_Bid_10600094_10600003_3000119">'predicted levels'!$BX$34</definedName>
    <definedName name="Trayport_Qty_Bid_10600094_10600003_3000119_3000120">'predicted levels'!$BX$98</definedName>
    <definedName name="Trayport_Qty_Bid_10600094_10600003_3000120">'predicted levels'!$BX$35</definedName>
    <definedName name="Trayport_Qty_Bid_10600094_10600003_3000120_3000121">'predicted levels'!$BX$99</definedName>
    <definedName name="Trayport_Qty_Bid_10600094_10600003_3000121">'predicted levels'!$BX$36</definedName>
    <definedName name="Trayport_Qty_Bid_10600094_10600003_3000121_3000122">'predicted levels'!$BX$100</definedName>
    <definedName name="Trayport_Qty_Bid_10600094_10600003_3000122">'predicted levels'!$BX$37</definedName>
    <definedName name="Trayport_Qty_Bid_10600094_10600003_3000122_3000123">'predicted levels'!$BX$101</definedName>
    <definedName name="Trayport_Qty_Bid_10600094_10600003_3000123">'predicted levels'!$BX$38</definedName>
    <definedName name="Trayport_Qty_Bid_10600094_10600003_3000123_3000124">'predicted levels'!$BX$102</definedName>
    <definedName name="Trayport_Qty_Bid_10600094_10600003_3000124">'predicted levels'!$BX$39</definedName>
    <definedName name="Trayport_Qty_Bid_10600094_10600003_3000124_3000125">'predicted levels'!$BX$103</definedName>
    <definedName name="Trayport_Qty_Bid_10600094_10600003_3000125">'predicted levels'!$BX$40</definedName>
    <definedName name="Trayport_Qty_Bid_10600094_10600003_3000125_3000126">'predicted levels'!$BX$104</definedName>
    <definedName name="Trayport_Qty_Bid_10600094_10600003_3000126">'predicted levels'!$BX$41</definedName>
    <definedName name="Trayport_Qty_Bid_10600094_10600003_3000126_3000127">'predicted levels'!$BX$105</definedName>
    <definedName name="Trayport_Qty_Bid_10600094_10600003_3000127">'predicted levels'!$BX$42</definedName>
    <definedName name="Trayport_Qty_Bid_10600094_10600003_3000127_3000128">'predicted levels'!$BX$106</definedName>
    <definedName name="Trayport_Qty_Bid_10600094_10600003_3000128">'predicted levels'!$BX$43</definedName>
    <definedName name="Trayport_Qty_Bid_10600094_10600003_3000128_3000129">'predicted levels'!$BX$107</definedName>
    <definedName name="Trayport_Qty_Bid_10600094_10600003_3000129">'predicted levels'!$BX$44</definedName>
    <definedName name="Trayport_Qty_Bid_10600094_10600003_3000129_3000130">'predicted levels'!$BX$108</definedName>
    <definedName name="Trayport_Qty_Bid_10600094_10600003_3000130">'predicted levels'!$BX$45</definedName>
    <definedName name="Trayport_Qty_Bid_10600094_10600003_3000130_3000131">'predicted levels'!$BX$109</definedName>
    <definedName name="Trayport_Qty_Bid_10600094_10600003_3000131">'predicted levels'!$BX$46</definedName>
    <definedName name="Trayport_Qty_Bid_10600094_10600003_3000132">'predicted levels'!$BX$47</definedName>
    <definedName name="Trayport_Qty_Bid_10600094_10600003_3000133">'predicted levels'!$BX$48</definedName>
    <definedName name="Trayport_Qty_Bid_10600094_10600003_3000134">'predicted levels'!$BX$49</definedName>
    <definedName name="Trayport_Qty_Bid_10600094_10600003_3000135">'predicted levels'!$BX$50</definedName>
    <definedName name="Trayport_Qty_Bid_10600094_10600003_3000136">'predicted levels'!$BX$51</definedName>
    <definedName name="Trayport_Qty_Bid_10600094_10600003_3000137">'predicted levels'!$BX$52</definedName>
    <definedName name="Trayport_Qty_Bid_10600094_10600003_3000138">'predicted levels'!$BX$53</definedName>
    <definedName name="Trayport_Qty_Bid_10600094_10600003_3000139">'predicted levels'!$BX$54</definedName>
    <definedName name="Trayport_Qty_Bid_10600094_10600003_3000140">'predicted levels'!$BX$55</definedName>
    <definedName name="Trayport_Qty_Bid_10600094_10600003_3000141">'predicted levels'!$BX$56</definedName>
    <definedName name="Trayport_Qty_Bid_10600094_10600003_3000142">'predicted levels'!$BX$57</definedName>
    <definedName name="Trayport_Qty_Bid_10600094_10600003_3000143">'predicted levels'!$BX$58</definedName>
    <definedName name="Trayport_Qty_Bid_10600094_10600003_3000144">'predicted levels'!$BX$59</definedName>
    <definedName name="Trayport_Qty_Bid_10600094_10600004_4000133">'predicted levels'!$BY$10</definedName>
    <definedName name="Trayport_Qty_Bid_10600094_10600004_4000133_4000134">'predicted levels'!$BY$74</definedName>
    <definedName name="Trayport_Qty_Bid_10600094_10600004_4000134">'predicted levels'!$BY$11</definedName>
    <definedName name="Trayport_Qty_Bid_10600094_10600004_4000134_4000135">'predicted levels'!$BY$75</definedName>
    <definedName name="Trayport_Qty_Bid_10600094_10600004_4000135">'predicted levels'!$BY$12</definedName>
    <definedName name="Trayport_Qty_Bid_10600094_10600004_4000135_4000136">'predicted levels'!$BY$76</definedName>
    <definedName name="Trayport_Qty_Bid_10600094_10600004_4000136">'predicted levels'!$BY$13</definedName>
    <definedName name="Trayport_Qty_Bid_10600094_10600004_4000136_4000137">'predicted levels'!$BY$77</definedName>
    <definedName name="Trayport_Qty_Bid_10600094_10600004_4000137">'predicted levels'!$BY$14</definedName>
    <definedName name="Trayport_Qty_Bid_10600094_10600004_4000137_4000138">'predicted levels'!$BY$78</definedName>
    <definedName name="Trayport_Qty_Bid_10600094_10600004_4000138">'predicted levels'!$BY$15</definedName>
    <definedName name="Trayport_Qty_Bid_10600094_10600004_4000138_4000139">'predicted levels'!$BY$79</definedName>
    <definedName name="Trayport_Qty_Bid_10600094_10600004_4000139">'predicted levels'!$BY$16</definedName>
    <definedName name="Trayport_Qty_Bid_10600094_10600004_4000139_4000140">'predicted levels'!$BY$80</definedName>
    <definedName name="Trayport_Qty_Bid_10600094_10600004_4000140">'predicted levels'!$BY$17</definedName>
    <definedName name="Trayport_Qty_Bid_10600094_10600004_4000140_4000141">'predicted levels'!$BY$81</definedName>
    <definedName name="Trayport_Qty_Bid_10600094_10600004_4000141">'predicted levels'!$BY$18</definedName>
    <definedName name="Trayport_Qty_Bid_10600094_10600004_4000141_4000142">'predicted levels'!$BY$82</definedName>
    <definedName name="Trayport_Qty_Bid_10600094_10600004_4000142">'predicted levels'!$BY$19</definedName>
    <definedName name="Trayport_Qty_Bid_10600094_10600004_4000142_4000143">'predicted levels'!$BY$83</definedName>
    <definedName name="Trayport_Qty_Bid_10600094_10600004_4000143">'predicted levels'!$BY$20</definedName>
    <definedName name="Trayport_Qty_Bid_10600094_10600004_4000143_4000144">'predicted levels'!$BY$84</definedName>
    <definedName name="Trayport_Qty_Bid_10600094_10600004_4000144">'predicted levels'!$BY$21</definedName>
    <definedName name="Trayport_Qty_Bid_10600094_10600004_4000144_4000145">'predicted levels'!$BY$85</definedName>
    <definedName name="Trayport_Qty_Bid_10600094_10600004_4000145">'predicted levels'!$BY$22</definedName>
    <definedName name="Trayport_Qty_Bid_10600094_10600004_4000145_4000146">'predicted levels'!$BY$86</definedName>
    <definedName name="Trayport_Qty_Bid_10600094_10600004_4000146">'predicted levels'!$BY$23</definedName>
    <definedName name="Trayport_Qty_Bid_10600094_10600004_4000146_4000147">'predicted levels'!$BY$87</definedName>
    <definedName name="Trayport_Qty_Bid_10600094_10600004_4000147">'predicted levels'!$BY$24</definedName>
    <definedName name="Trayport_Qty_Bid_10600094_10600004_4000147_4000148">'predicted levels'!$BY$88</definedName>
    <definedName name="Trayport_Qty_Bid_10600094_10600004_4000148">'predicted levels'!$BY$25</definedName>
    <definedName name="Trayport_Qty_Bid_10600094_10600007_7000209">'predicted levels'!$BZ$10</definedName>
    <definedName name="Trayport_Qty_Bid_10600094_10600007_7000209_7000210">'predicted levels'!$BZ$74</definedName>
    <definedName name="Trayport_Qty_Bid_10600094_10600007_7000210">'predicted levels'!$BZ$11</definedName>
    <definedName name="Trayport_Qty_Bid_10600094_10600007_7000210_7000211">'predicted levels'!$BZ$75</definedName>
    <definedName name="Trayport_Qty_Bid_10600094_10600007_7000211">'predicted levels'!$BZ$12</definedName>
    <definedName name="Trayport_Qty_Bid_10600094_10600007_7000211_7000212">'predicted levels'!$BZ$76</definedName>
    <definedName name="Trayport_Qty_Bid_10600094_10600007_7000212">'predicted levels'!$BZ$13</definedName>
    <definedName name="Trayport_Qty_Bid_10600094_10600007_7000212_7000213">'predicted levels'!$BZ$77</definedName>
    <definedName name="Trayport_Qty_Bid_10600094_10600007_7000213">'predicted levels'!$BZ$14</definedName>
    <definedName name="Z_7FAE1FD6_EAC8_4844_9D60_FD163C574510_.wvu.Rows" localSheetId="0" hidden="1">'predicted levels'!$1:$3</definedName>
    <definedName name="Z_CE2035FC_ABA8_4AF4_8A93_1868391FA6C4_.wvu.Rows" localSheetId="0" hidden="1">'predicted levels'!$1:$3</definedName>
    <definedName name="Z_E56B61DF_7D7B_44F2_8FE5_E1F110AF10C2_.wvu.Rows" localSheetId="0" hidden="1">'predicted levels'!$1:$3</definedName>
  </definedNames>
  <calcPr calcId="152511"/>
  <customWorkbookViews>
    <customWorkbookView name="Anthony Zarski - Personal View" guid="{CE2035FC-ABA8-4AF4-8A93-1868391FA6C4}" mergeInterval="0" personalView="1" maximized="1" xWindow="-8" yWindow="-8" windowWidth="1936" windowHeight="1056" activeSheetId="1"/>
    <customWorkbookView name="TraderFive - Personal View" guid="{7FAE1FD6-EAC8-4844-9D60-FD163C574510}" mergeInterval="0" personalView="1" xWindow="-1445" yWindow="160" windowWidth="766" windowHeight="828" activeSheetId="1"/>
    <customWorkbookView name="Trader1 - Personal View" guid="{E56B61DF-7D7B-44F2-8FE5-E1F110AF10C2}" mergeInterval="0" personalView="1" xWindow="3046" yWindow="8" windowWidth="1245" windowHeight="870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7" i="1" l="1"/>
  <c r="K18" i="1" l="1"/>
  <c r="K17" i="1"/>
  <c r="H122" i="1" l="1"/>
  <c r="H121" i="1"/>
  <c r="H119" i="1"/>
  <c r="H120" i="1"/>
  <c r="M29" i="1" l="1"/>
  <c r="M28" i="1"/>
  <c r="E100" i="1" s="1"/>
  <c r="M27" i="1"/>
  <c r="E99" i="1" s="1"/>
  <c r="V25" i="1"/>
  <c r="C126" i="1" s="1"/>
  <c r="V24" i="1"/>
  <c r="C125" i="1" s="1"/>
  <c r="C121" i="1"/>
  <c r="C122" i="1"/>
  <c r="C120" i="1"/>
  <c r="N40" i="1"/>
  <c r="H106" i="1" s="1"/>
  <c r="N32" i="1"/>
  <c r="H118" i="1"/>
  <c r="H117" i="1"/>
  <c r="H116" i="1"/>
  <c r="C108" i="1"/>
  <c r="B108" i="1"/>
  <c r="E107" i="1"/>
  <c r="C107" i="1"/>
  <c r="B107" i="1"/>
  <c r="C106" i="1"/>
  <c r="B106" i="1"/>
  <c r="C105" i="1"/>
  <c r="B105" i="1"/>
  <c r="C104" i="1"/>
  <c r="B104" i="1"/>
  <c r="C103" i="1"/>
  <c r="B103" i="1"/>
  <c r="C102" i="1"/>
  <c r="B102" i="1"/>
  <c r="C101" i="1"/>
  <c r="B101" i="1"/>
  <c r="C100" i="1"/>
  <c r="B100" i="1"/>
  <c r="C99" i="1"/>
  <c r="B99" i="1"/>
  <c r="C98" i="1"/>
  <c r="B98" i="1"/>
  <c r="C97" i="1"/>
  <c r="B97" i="1"/>
  <c r="C96" i="1"/>
  <c r="B96" i="1"/>
  <c r="C95" i="1"/>
  <c r="B95" i="1"/>
  <c r="C94" i="1"/>
  <c r="B94" i="1"/>
  <c r="C93" i="1"/>
  <c r="B93" i="1"/>
  <c r="C92" i="1"/>
  <c r="B92" i="1"/>
  <c r="C91" i="1"/>
  <c r="B91" i="1"/>
  <c r="B90" i="1"/>
  <c r="B10" i="1"/>
  <c r="B22" i="1"/>
  <c r="B21" i="1"/>
  <c r="B20" i="1"/>
  <c r="B19" i="1"/>
  <c r="B18" i="1"/>
  <c r="B17" i="1"/>
  <c r="B16" i="1"/>
  <c r="B15" i="1"/>
  <c r="B14" i="1"/>
  <c r="B13" i="1"/>
  <c r="B12" i="1"/>
  <c r="B11" i="1"/>
  <c r="N111" i="1"/>
  <c r="N110" i="1"/>
  <c r="BT76" i="1" s="1"/>
  <c r="N109" i="1"/>
  <c r="BU75" i="1" s="1"/>
  <c r="N108" i="1"/>
  <c r="N107" i="1"/>
  <c r="N106" i="1"/>
  <c r="N105" i="1"/>
  <c r="N104" i="1"/>
  <c r="N103" i="1"/>
  <c r="N102" i="1"/>
  <c r="BQ83" i="1" s="1"/>
  <c r="M102" i="1"/>
  <c r="N101" i="1"/>
  <c r="N100" i="1"/>
  <c r="N97" i="1"/>
  <c r="N96" i="1"/>
  <c r="BR82" i="1" s="1"/>
  <c r="M96" i="1"/>
  <c r="N95" i="1"/>
  <c r="N94" i="1"/>
  <c r="N92" i="1"/>
  <c r="N91" i="1"/>
  <c r="N90" i="1"/>
  <c r="N89" i="1"/>
  <c r="N88" i="1"/>
  <c r="N87" i="1"/>
  <c r="N86" i="1"/>
  <c r="N85" i="1"/>
  <c r="N84" i="1"/>
  <c r="BR80" i="1" s="1"/>
  <c r="N83" i="1"/>
  <c r="N82" i="1"/>
  <c r="E82" i="1"/>
  <c r="D82" i="1"/>
  <c r="N81" i="1"/>
  <c r="N80" i="1"/>
  <c r="N79" i="1"/>
  <c r="N78" i="1"/>
  <c r="BR79" i="1" s="1"/>
  <c r="N77" i="1"/>
  <c r="N76" i="1"/>
  <c r="N75" i="1"/>
  <c r="N74" i="1"/>
  <c r="E74" i="1"/>
  <c r="D74" i="1"/>
  <c r="N73" i="1"/>
  <c r="N72" i="1"/>
  <c r="BQ78" i="1" s="1"/>
  <c r="N71" i="1"/>
  <c r="N70" i="1"/>
  <c r="N69" i="1"/>
  <c r="N68" i="1"/>
  <c r="N67" i="1"/>
  <c r="E67" i="1"/>
  <c r="D67" i="1"/>
  <c r="N66" i="1"/>
  <c r="M65" i="1"/>
  <c r="M64" i="1"/>
  <c r="N63" i="1"/>
  <c r="BO92" i="1" s="1"/>
  <c r="M63" i="1"/>
  <c r="S62" i="1"/>
  <c r="R62" i="1"/>
  <c r="N62" i="1"/>
  <c r="N61" i="1"/>
  <c r="N60" i="1"/>
  <c r="N59" i="1"/>
  <c r="N58" i="1"/>
  <c r="N57" i="1"/>
  <c r="M56" i="1"/>
  <c r="N55" i="1"/>
  <c r="M55" i="1"/>
  <c r="S54" i="1"/>
  <c r="R54" i="1"/>
  <c r="N54" i="1"/>
  <c r="BN91" i="1" s="1"/>
  <c r="M54" i="1"/>
  <c r="N53" i="1"/>
  <c r="N52" i="1"/>
  <c r="N51" i="1"/>
  <c r="N50" i="1"/>
  <c r="N49" i="1"/>
  <c r="S48" i="1"/>
  <c r="BT75" i="1" l="1"/>
  <c r="BU76" i="1"/>
  <c r="BR83" i="1"/>
  <c r="BQ79" i="1"/>
  <c r="H107" i="1"/>
  <c r="BR81" i="1"/>
  <c r="BN92" i="1"/>
  <c r="BQ81" i="1"/>
  <c r="BO91" i="1"/>
  <c r="BR78" i="1"/>
  <c r="BQ80" i="1"/>
  <c r="BQ82" i="1"/>
  <c r="N48" i="1"/>
  <c r="N47" i="1"/>
  <c r="M47" i="1"/>
  <c r="N46" i="1"/>
  <c r="M46" i="1"/>
  <c r="N45" i="1"/>
  <c r="M45" i="1"/>
  <c r="N44" i="1"/>
  <c r="N43" i="1"/>
  <c r="S42" i="1"/>
  <c r="BN90" i="1" l="1"/>
  <c r="BO90" i="1"/>
  <c r="N42" i="1"/>
  <c r="B42" i="1"/>
  <c r="N41" i="1"/>
  <c r="B41" i="1"/>
  <c r="B40" i="1"/>
  <c r="N39" i="1"/>
  <c r="H105" i="1" s="1"/>
  <c r="S38" i="1"/>
  <c r="N38" i="1"/>
  <c r="M38" i="1"/>
  <c r="N37" i="1"/>
  <c r="H104" i="1" s="1"/>
  <c r="M37" i="1"/>
  <c r="E104" i="1" s="1"/>
  <c r="S36" i="1"/>
  <c r="N36" i="1"/>
  <c r="H103" i="1" s="1"/>
  <c r="M36" i="1"/>
  <c r="J36" i="1"/>
  <c r="E36" i="1"/>
  <c r="D40" i="1"/>
  <c r="E38" i="1"/>
  <c r="E39" i="1"/>
  <c r="E40" i="1"/>
  <c r="E37" i="1"/>
  <c r="D42" i="1"/>
  <c r="D39" i="1"/>
  <c r="E42" i="1"/>
  <c r="D37" i="1"/>
  <c r="D38" i="1"/>
  <c r="E41" i="1"/>
  <c r="D36" i="1"/>
  <c r="D41" i="1"/>
  <c r="B39" i="1" l="1"/>
  <c r="E103" i="1"/>
  <c r="C37" i="1"/>
  <c r="C40" i="1"/>
  <c r="C42" i="1"/>
  <c r="C39" i="1"/>
  <c r="C41" i="1"/>
  <c r="C38" i="1"/>
  <c r="BO89" i="1"/>
  <c r="BN89" i="1"/>
  <c r="S39" i="1"/>
  <c r="S37" i="1"/>
  <c r="C36" i="1"/>
  <c r="N35" i="1"/>
  <c r="J35" i="1"/>
  <c r="N34" i="1"/>
  <c r="J34" i="1"/>
  <c r="N33" i="1"/>
  <c r="J33" i="1"/>
  <c r="J32" i="1"/>
  <c r="B32" i="1"/>
  <c r="N31" i="1"/>
  <c r="H102" i="1" s="1"/>
  <c r="J31" i="1"/>
  <c r="B31" i="1"/>
  <c r="N30" i="1"/>
  <c r="H101" i="1" s="1"/>
  <c r="J30" i="1"/>
  <c r="B30" i="1"/>
  <c r="BO29" i="1"/>
  <c r="BN29" i="1"/>
  <c r="N29" i="1"/>
  <c r="R30" i="1"/>
  <c r="B29" i="1"/>
  <c r="BO28" i="1"/>
  <c r="BN28" i="1"/>
  <c r="N28" i="1"/>
  <c r="H100" i="1" s="1"/>
  <c r="B28" i="1"/>
  <c r="BO27" i="1"/>
  <c r="BN27" i="1"/>
  <c r="N27" i="1"/>
  <c r="H99" i="1" s="1"/>
  <c r="R28" i="1"/>
  <c r="E113" i="1" s="1"/>
  <c r="BO26" i="1"/>
  <c r="BN26" i="1"/>
  <c r="N26" i="1"/>
  <c r="B26" i="1"/>
  <c r="BO25" i="1"/>
  <c r="BN25" i="1"/>
  <c r="N25" i="1"/>
  <c r="B25" i="1"/>
  <c r="BO24" i="1"/>
  <c r="BN24" i="1"/>
  <c r="N24" i="1"/>
  <c r="K24" i="1"/>
  <c r="B24" i="1"/>
  <c r="BO23" i="1"/>
  <c r="BN23" i="1"/>
  <c r="AE23" i="1"/>
  <c r="N23" i="1"/>
  <c r="B23" i="1"/>
  <c r="BO22" i="1"/>
  <c r="BN22" i="1"/>
  <c r="AE22" i="1"/>
  <c r="T22" i="1"/>
  <c r="N22" i="1"/>
  <c r="H98" i="1" s="1"/>
  <c r="D22" i="1"/>
  <c r="E22" i="1"/>
  <c r="AI22" i="1"/>
  <c r="AJ23" i="1"/>
  <c r="AI23" i="1"/>
  <c r="AJ22" i="1"/>
  <c r="J46" i="1" l="1"/>
  <c r="K32" i="1"/>
  <c r="K31" i="1"/>
  <c r="K33" i="1"/>
  <c r="K35" i="1"/>
  <c r="K34" i="1"/>
  <c r="R29" i="1"/>
  <c r="K36" i="1"/>
  <c r="J37" i="1" s="1"/>
  <c r="J47" i="1" s="1"/>
  <c r="B38" i="1"/>
  <c r="BO88" i="1"/>
  <c r="BN88" i="1"/>
  <c r="C22" i="1"/>
  <c r="AE21" i="1"/>
  <c r="N21" i="1"/>
  <c r="H97" i="1" s="1"/>
  <c r="E21" i="1"/>
  <c r="D21" i="1"/>
  <c r="AI21" i="1"/>
  <c r="AJ21" i="1"/>
  <c r="K37" i="1" l="1"/>
  <c r="J38" i="1" s="1"/>
  <c r="C21" i="1"/>
  <c r="BR20" i="1"/>
  <c r="BQ20" i="1"/>
  <c r="AE20" i="1"/>
  <c r="N20" i="1"/>
  <c r="M20" i="1"/>
  <c r="R25" i="1" s="1"/>
  <c r="D20" i="1"/>
  <c r="E20" i="1"/>
  <c r="AJ20" i="1"/>
  <c r="AI20" i="1"/>
  <c r="K38" i="1" l="1"/>
  <c r="J39" i="1" s="1"/>
  <c r="C20" i="1"/>
  <c r="BR19" i="1"/>
  <c r="BQ19" i="1"/>
  <c r="AE19" i="1"/>
  <c r="N19" i="1"/>
  <c r="H96" i="1" s="1"/>
  <c r="M19" i="1"/>
  <c r="E96" i="1" s="1"/>
  <c r="D19" i="1"/>
  <c r="E19" i="1"/>
  <c r="AI19" i="1"/>
  <c r="AJ19" i="1"/>
  <c r="R24" i="1" l="1"/>
  <c r="K39" i="1"/>
  <c r="J40" i="1" s="1"/>
  <c r="C19" i="1"/>
  <c r="BR18" i="1"/>
  <c r="BQ18" i="1"/>
  <c r="AE18" i="1"/>
  <c r="N18" i="1"/>
  <c r="H95" i="1" s="1"/>
  <c r="M18" i="1"/>
  <c r="E95" i="1" s="1"/>
  <c r="D18" i="1"/>
  <c r="E18" i="1"/>
  <c r="AJ18" i="1"/>
  <c r="AI18" i="1"/>
  <c r="D26" i="1" l="1"/>
  <c r="C26" i="1"/>
  <c r="E26" i="1"/>
  <c r="K40" i="1"/>
  <c r="J41" i="1" s="1"/>
  <c r="J48" i="1" s="1"/>
  <c r="B37" i="1"/>
  <c r="R23" i="1"/>
  <c r="BO87" i="1"/>
  <c r="BN87" i="1"/>
  <c r="C18" i="1"/>
  <c r="BR17" i="1"/>
  <c r="BQ17" i="1"/>
  <c r="AE17" i="1"/>
  <c r="E17" i="1"/>
  <c r="D17" i="1"/>
  <c r="AI17" i="1"/>
  <c r="AJ17" i="1"/>
  <c r="U25" i="1" l="1"/>
  <c r="B126" i="1" s="1"/>
  <c r="E112" i="1"/>
  <c r="K41" i="1"/>
  <c r="J42" i="1" s="1"/>
  <c r="C17" i="1"/>
  <c r="BR16" i="1"/>
  <c r="BQ16" i="1"/>
  <c r="AE16" i="1"/>
  <c r="N16" i="1"/>
  <c r="D16" i="1"/>
  <c r="E16" i="1"/>
  <c r="AI16" i="1"/>
  <c r="AJ16" i="1"/>
  <c r="K42" i="1" l="1"/>
  <c r="J43" i="1" s="1"/>
  <c r="C16" i="1"/>
  <c r="BR15" i="1"/>
  <c r="BQ15" i="1"/>
  <c r="AE15" i="1"/>
  <c r="W15" i="1"/>
  <c r="C117" i="1" s="1"/>
  <c r="U15" i="1"/>
  <c r="B117" i="1" s="1"/>
  <c r="R15" i="1"/>
  <c r="E122" i="1" s="1"/>
  <c r="N15" i="1"/>
  <c r="D15" i="1"/>
  <c r="E15" i="1"/>
  <c r="AI15" i="1"/>
  <c r="AJ15" i="1"/>
  <c r="D25" i="1" l="1"/>
  <c r="C25" i="1"/>
  <c r="C45" i="1" s="1"/>
  <c r="E25" i="1"/>
  <c r="K43" i="1"/>
  <c r="J44" i="1" s="1"/>
  <c r="C15" i="1"/>
  <c r="BR14" i="1"/>
  <c r="BQ14" i="1"/>
  <c r="AE14" i="1"/>
  <c r="W14" i="1"/>
  <c r="C116" i="1" s="1"/>
  <c r="U14" i="1"/>
  <c r="B116" i="1" s="1"/>
  <c r="R14" i="1"/>
  <c r="E121" i="1" s="1"/>
  <c r="N14" i="1"/>
  <c r="D14" i="1"/>
  <c r="E14" i="1"/>
  <c r="AJ14" i="1"/>
  <c r="AI14" i="1"/>
  <c r="D24" i="1" l="1"/>
  <c r="E24" i="1"/>
  <c r="K44" i="1"/>
  <c r="J45" i="1" s="1"/>
  <c r="K45" i="1" s="1"/>
  <c r="E45" i="1"/>
  <c r="D45" i="1"/>
  <c r="C14" i="1"/>
  <c r="BU13" i="1"/>
  <c r="BT13" i="1"/>
  <c r="AE13" i="1"/>
  <c r="W13" i="1"/>
  <c r="C115" i="1" s="1"/>
  <c r="U13" i="1"/>
  <c r="B115" i="1" s="1"/>
  <c r="R13" i="1"/>
  <c r="E120" i="1" s="1"/>
  <c r="N13" i="1"/>
  <c r="H94" i="1" s="1"/>
  <c r="D13" i="1"/>
  <c r="E13" i="1"/>
  <c r="AJ13" i="1"/>
  <c r="AI13" i="1"/>
  <c r="C13" i="1" l="1"/>
  <c r="BU12" i="1"/>
  <c r="BT12" i="1"/>
  <c r="AE12" i="1"/>
  <c r="W12" i="1"/>
  <c r="U12" i="1"/>
  <c r="B114" i="1" s="1"/>
  <c r="R12" i="1"/>
  <c r="E119" i="1" s="1"/>
  <c r="N12" i="1"/>
  <c r="H93" i="1" s="1"/>
  <c r="E12" i="1"/>
  <c r="D12" i="1"/>
  <c r="AJ12" i="1"/>
  <c r="AI12" i="1"/>
  <c r="S32" i="1" l="1"/>
  <c r="C114" i="1"/>
  <c r="C24" i="1"/>
  <c r="C12" i="1"/>
  <c r="BU11" i="1"/>
  <c r="BT11" i="1"/>
  <c r="AE11" i="1"/>
  <c r="W11" i="1"/>
  <c r="C113" i="1" s="1"/>
  <c r="U11" i="1"/>
  <c r="B113" i="1" s="1"/>
  <c r="R11" i="1"/>
  <c r="N11" i="1"/>
  <c r="M11" i="1"/>
  <c r="R20" i="1" s="1"/>
  <c r="D11" i="1"/>
  <c r="E11" i="1"/>
  <c r="AI11" i="1"/>
  <c r="AJ11" i="1"/>
  <c r="E118" i="1" l="1"/>
  <c r="U20" i="1"/>
  <c r="B122" i="1" s="1"/>
  <c r="D23" i="1"/>
  <c r="C28" i="1" s="1"/>
  <c r="E23" i="1"/>
  <c r="E28" i="1" s="1"/>
  <c r="C44" i="1"/>
  <c r="C58" i="1"/>
  <c r="C55" i="1"/>
  <c r="S31" i="1"/>
  <c r="S30" i="1"/>
  <c r="S28" i="1"/>
  <c r="H113" i="1" s="1"/>
  <c r="S29" i="1"/>
  <c r="C57" i="1"/>
  <c r="C11" i="1"/>
  <c r="C51" i="1" s="1"/>
  <c r="AE10" i="1"/>
  <c r="W10" i="1"/>
  <c r="C112" i="1" s="1"/>
  <c r="U10" i="1"/>
  <c r="B112" i="1" s="1"/>
  <c r="R10" i="1"/>
  <c r="N10" i="1"/>
  <c r="H92" i="1" s="1"/>
  <c r="M10" i="1"/>
  <c r="E92" i="1" s="1"/>
  <c r="E10" i="1"/>
  <c r="D10" i="1"/>
  <c r="AJ10" i="1"/>
  <c r="AI10" i="1"/>
  <c r="E117" i="1" l="1"/>
  <c r="U19" i="1"/>
  <c r="B121" i="1" s="1"/>
  <c r="E44" i="1"/>
  <c r="D44" i="1"/>
  <c r="R19" i="1"/>
  <c r="S24" i="1"/>
  <c r="S27" i="1"/>
  <c r="S25" i="1"/>
  <c r="S26" i="1"/>
  <c r="S23" i="1"/>
  <c r="H112" i="1" s="1"/>
  <c r="C10" i="1"/>
  <c r="W9" i="1"/>
  <c r="C111" i="1" s="1"/>
  <c r="U9" i="1"/>
  <c r="B111" i="1" s="1"/>
  <c r="R9" i="1"/>
  <c r="N9" i="1"/>
  <c r="H91" i="1" s="1"/>
  <c r="M9" i="1"/>
  <c r="E91" i="1" s="1"/>
  <c r="E9" i="1"/>
  <c r="D9" i="1"/>
  <c r="E116" i="1" l="1"/>
  <c r="U18" i="1"/>
  <c r="B120" i="1" s="1"/>
  <c r="S19" i="1"/>
  <c r="C23" i="1"/>
  <c r="BN86" i="1"/>
  <c r="BO86" i="1"/>
  <c r="S22" i="1"/>
  <c r="S21" i="1"/>
  <c r="S20" i="1"/>
  <c r="S18" i="1"/>
  <c r="H111" i="1" s="1"/>
  <c r="C53" i="1"/>
  <c r="C50" i="1"/>
  <c r="C48" i="1"/>
  <c r="B36" i="1"/>
  <c r="R18" i="1"/>
  <c r="C9" i="1"/>
  <c r="B9" i="1"/>
  <c r="AX8" i="1"/>
  <c r="AX10" i="1" s="1"/>
  <c r="W8" i="1"/>
  <c r="J8" i="1"/>
  <c r="U24" i="1" l="1"/>
  <c r="B125" i="1" s="1"/>
  <c r="E111" i="1"/>
  <c r="S43" i="1"/>
  <c r="C43" i="1"/>
  <c r="C56" i="1"/>
  <c r="C54" i="1"/>
  <c r="BA21" i="1"/>
  <c r="BB21" i="1"/>
  <c r="AZ21" i="1"/>
  <c r="AY21" i="1"/>
  <c r="AX21" i="1"/>
  <c r="BC21" i="1"/>
  <c r="BE21" i="1"/>
  <c r="BD21" i="1"/>
  <c r="BD20" i="1"/>
  <c r="M35" i="1" s="1"/>
  <c r="BC20" i="1"/>
  <c r="M34" i="1" s="1"/>
  <c r="BA20" i="1"/>
  <c r="M33" i="1" s="1"/>
  <c r="AZ20" i="1"/>
  <c r="AY20" i="1"/>
  <c r="M31" i="1" s="1"/>
  <c r="E102" i="1" s="1"/>
  <c r="AX20" i="1"/>
  <c r="M30" i="1" s="1"/>
  <c r="BE20" i="1"/>
  <c r="BB20" i="1"/>
  <c r="BD19" i="1"/>
  <c r="AX19" i="1"/>
  <c r="BE19" i="1"/>
  <c r="BC19" i="1"/>
  <c r="AZ19" i="1"/>
  <c r="BB19" i="1"/>
  <c r="BA19" i="1"/>
  <c r="AY19" i="1"/>
  <c r="AX18" i="1"/>
  <c r="BA18" i="1"/>
  <c r="BE18" i="1"/>
  <c r="AZ18" i="1"/>
  <c r="BD18" i="1"/>
  <c r="BB18" i="1"/>
  <c r="AY18" i="1"/>
  <c r="BC18" i="1"/>
  <c r="AX17" i="1"/>
  <c r="BE17" i="1"/>
  <c r="BD17" i="1"/>
  <c r="BC17" i="1"/>
  <c r="AZ17" i="1"/>
  <c r="AY17" i="1"/>
  <c r="BB17" i="1"/>
  <c r="BA17" i="1"/>
  <c r="BD16" i="1"/>
  <c r="BC16" i="1"/>
  <c r="BB16" i="1"/>
  <c r="AZ16" i="1"/>
  <c r="AY16" i="1"/>
  <c r="BA16" i="1"/>
  <c r="AX16" i="1"/>
  <c r="BE16" i="1"/>
  <c r="BD15" i="1"/>
  <c r="BC15" i="1"/>
  <c r="BB15" i="1"/>
  <c r="AX15" i="1"/>
  <c r="BE15" i="1"/>
  <c r="BA15" i="1"/>
  <c r="AZ15" i="1"/>
  <c r="AY15" i="1"/>
  <c r="BE14" i="1"/>
  <c r="BD14" i="1"/>
  <c r="AZ14" i="1"/>
  <c r="AY14" i="1"/>
  <c r="AX14" i="1"/>
  <c r="BC14" i="1"/>
  <c r="BB14" i="1"/>
  <c r="BA14" i="1"/>
  <c r="AX13" i="1"/>
  <c r="BE13" i="1"/>
  <c r="BD13" i="1"/>
  <c r="AY13" i="1"/>
  <c r="BC13" i="1"/>
  <c r="BB13" i="1"/>
  <c r="BA13" i="1"/>
  <c r="AZ13" i="1"/>
  <c r="BB12" i="1"/>
  <c r="BA12" i="1"/>
  <c r="AZ12" i="1"/>
  <c r="AX12" i="1"/>
  <c r="AY12" i="1"/>
  <c r="BD12" i="1"/>
  <c r="BC12" i="1"/>
  <c r="BE12" i="1"/>
  <c r="BB11" i="1"/>
  <c r="BA11" i="1"/>
  <c r="AZ11" i="1"/>
  <c r="AY11" i="1"/>
  <c r="BC11" i="1"/>
  <c r="AX11" i="1"/>
  <c r="BE11" i="1"/>
  <c r="BD11" i="1"/>
  <c r="BC10" i="1"/>
  <c r="BA10" i="1"/>
  <c r="BB10" i="1"/>
  <c r="AZ10" i="1"/>
  <c r="BD10" i="1"/>
  <c r="AY10" i="1"/>
  <c r="BE10" i="1"/>
  <c r="C49" i="1"/>
  <c r="C52" i="1"/>
  <c r="BS7" i="1"/>
  <c r="W1" i="1"/>
  <c r="J1" i="1"/>
  <c r="M32" i="1" l="1"/>
  <c r="R32" i="1"/>
  <c r="R31" i="1"/>
  <c r="E101" i="1"/>
  <c r="M52" i="1"/>
  <c r="M61" i="1"/>
  <c r="M70" i="1"/>
  <c r="M43" i="1"/>
  <c r="M25" i="1"/>
  <c r="M16" i="1"/>
  <c r="M101" i="1"/>
  <c r="M93" i="1"/>
  <c r="M92" i="1"/>
  <c r="M91" i="1"/>
  <c r="M90" i="1"/>
  <c r="M89" i="1"/>
  <c r="M88" i="1"/>
  <c r="M86" i="1"/>
  <c r="M83" i="1"/>
  <c r="M77" i="1"/>
  <c r="M75" i="1"/>
  <c r="M72" i="1"/>
  <c r="M99" i="1"/>
  <c r="M97" i="1"/>
  <c r="M80" i="1"/>
  <c r="M87" i="1"/>
  <c r="M85" i="1"/>
  <c r="M81" i="1"/>
  <c r="M79" i="1"/>
  <c r="M74" i="1"/>
  <c r="M73" i="1"/>
  <c r="M98" i="1"/>
  <c r="M94" i="1"/>
  <c r="M84" i="1"/>
  <c r="M82" i="1"/>
  <c r="M76" i="1"/>
  <c r="M100" i="1"/>
  <c r="M95" i="1"/>
  <c r="M78" i="1"/>
  <c r="M62" i="1"/>
  <c r="M53" i="1"/>
  <c r="M71" i="1"/>
  <c r="M44" i="1"/>
  <c r="M26" i="1"/>
  <c r="M17" i="1"/>
  <c r="M57" i="1"/>
  <c r="M66" i="1"/>
  <c r="M48" i="1"/>
  <c r="M39" i="1"/>
  <c r="E105" i="1" s="1"/>
  <c r="M21" i="1"/>
  <c r="M12" i="1"/>
  <c r="E43" i="1"/>
  <c r="D43" i="1"/>
  <c r="C29" i="1"/>
  <c r="E29" i="1"/>
  <c r="M60" i="1"/>
  <c r="M69" i="1"/>
  <c r="M51" i="1"/>
  <c r="M42" i="1"/>
  <c r="M24" i="1"/>
  <c r="M15" i="1"/>
  <c r="M67" i="1"/>
  <c r="M49" i="1"/>
  <c r="M58" i="1"/>
  <c r="M40" i="1"/>
  <c r="E106" i="1" s="1"/>
  <c r="M22" i="1"/>
  <c r="M13" i="1"/>
  <c r="S45" i="1"/>
  <c r="M50" i="1"/>
  <c r="M59" i="1"/>
  <c r="M68" i="1"/>
  <c r="M41" i="1"/>
  <c r="M23" i="1"/>
  <c r="M14" i="1"/>
  <c r="C14" i="6"/>
  <c r="R27" i="1" l="1"/>
  <c r="E98" i="1"/>
  <c r="R26" i="1"/>
  <c r="E97" i="1"/>
  <c r="R22" i="1"/>
  <c r="E94" i="1"/>
  <c r="R21" i="1"/>
  <c r="E93" i="1"/>
  <c r="C30" i="1"/>
  <c r="E30" i="1"/>
  <c r="D14" i="6"/>
  <c r="B7" i="6"/>
  <c r="S44" i="1" l="1"/>
  <c r="S46" i="1" s="1"/>
  <c r="C31" i="1"/>
  <c r="E31" i="1"/>
  <c r="C7" i="6"/>
  <c r="C6" i="6" s="1"/>
  <c r="C32" i="1" l="1"/>
  <c r="C33" i="1" s="1"/>
  <c r="E32" i="1"/>
  <c r="E33" i="1" s="1"/>
  <c r="F51" i="6"/>
  <c r="E51" i="6"/>
  <c r="D51" i="6"/>
  <c r="C51" i="6"/>
  <c r="C25" i="6"/>
  <c r="C18" i="6"/>
  <c r="C19" i="6" s="1"/>
  <c r="C15" i="6"/>
  <c r="C5" i="4"/>
  <c r="C6" i="4" s="1"/>
  <c r="D12" i="2"/>
  <c r="D5" i="4"/>
  <c r="E34" i="1" l="1"/>
  <c r="C34" i="1"/>
  <c r="C52" i="6"/>
  <c r="C7" i="2" s="1"/>
  <c r="C20" i="6"/>
  <c r="C8" i="4"/>
  <c r="D8" i="2" l="1"/>
  <c r="D9" i="2"/>
  <c r="D10" i="2"/>
  <c r="D7" i="2"/>
  <c r="D11" i="2"/>
  <c r="C10" i="2" l="1"/>
  <c r="C11" i="2" l="1"/>
  <c r="C8" i="2"/>
  <c r="C9" i="2" l="1"/>
  <c r="C12" i="2"/>
  <c r="C90" i="1" l="1"/>
</calcChain>
</file>

<file path=xl/comments1.xml><?xml version="1.0" encoding="utf-8"?>
<comments xmlns="http://schemas.openxmlformats.org/spreadsheetml/2006/main">
  <authors>
    <author>Trader1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 xml:space="preserve">Insert port RMB price
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 xml:space="preserve">USD=(Portside RMB- Portside fee charge)/1.13
/exchange rate/0.92
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 xml:space="preserve">Insert levels 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</rPr>
          <t xml:space="preserve">Spot port price discount to most active DCE period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<sst xmlns="http://schemas.openxmlformats.org/spreadsheetml/2006/main" count="513" uniqueCount="327">
  <si>
    <t xml:space="preserve">Avg price </t>
  </si>
  <si>
    <t>50</t>
  </si>
  <si>
    <t xml:space="preserve">Spread </t>
  </si>
  <si>
    <t xml:space="preserve">DCE </t>
  </si>
  <si>
    <t>Vals</t>
  </si>
  <si>
    <t>Q2</t>
  </si>
  <si>
    <t>(eg. Q2/Q3&amp;Q3/Q4)</t>
  </si>
  <si>
    <t>Qtr/H</t>
  </si>
  <si>
    <t>DCAP Formulae</t>
  </si>
  <si>
    <t>/</t>
  </si>
  <si>
    <t>Apr</t>
  </si>
  <si>
    <t>Offer</t>
  </si>
  <si>
    <t>Eg. Q2'17/2h'17</t>
  </si>
  <si>
    <t>Bid</t>
  </si>
  <si>
    <t>offer</t>
  </si>
  <si>
    <t>Month</t>
  </si>
  <si>
    <t>MONTH CODES:</t>
  </si>
  <si>
    <t>JAN</t>
  </si>
  <si>
    <t>F</t>
  </si>
  <si>
    <t>FEB</t>
  </si>
  <si>
    <t>G</t>
  </si>
  <si>
    <t xml:space="preserve">implied </t>
  </si>
  <si>
    <t>MAR</t>
  </si>
  <si>
    <t>H</t>
  </si>
  <si>
    <t>APR</t>
  </si>
  <si>
    <t>J</t>
  </si>
  <si>
    <t>Imp. Spreads</t>
  </si>
  <si>
    <t>(eg.Q1/Q2&amp;Q2/Q3&amp;Q3/Q4)</t>
  </si>
  <si>
    <t>H/H</t>
  </si>
  <si>
    <t>MAY</t>
  </si>
  <si>
    <t>K</t>
  </si>
  <si>
    <t xml:space="preserve">Bid </t>
  </si>
  <si>
    <t>Eg. 1h'18/2h'18</t>
  </si>
  <si>
    <t>JUN</t>
  </si>
  <si>
    <t>M</t>
  </si>
  <si>
    <t>Quarter</t>
  </si>
  <si>
    <t>JUL</t>
  </si>
  <si>
    <t>N</t>
  </si>
  <si>
    <t>AUG</t>
  </si>
  <si>
    <t>Q</t>
  </si>
  <si>
    <t>SEP</t>
  </si>
  <si>
    <t>U</t>
  </si>
  <si>
    <t>OCT</t>
  </si>
  <si>
    <t>V</t>
  </si>
  <si>
    <t>NOV</t>
  </si>
  <si>
    <t>X</t>
  </si>
  <si>
    <t>(eg.Q2/Q3&amp;Q3/Q4&amp;Q4/Q1&amp;Q1/Q2)</t>
  </si>
  <si>
    <t>Calendar Year</t>
  </si>
  <si>
    <t>DEC</t>
  </si>
  <si>
    <t>Z</t>
  </si>
  <si>
    <t xml:space="preserve">  (Qtr/H) eg q2'17/1h'18</t>
  </si>
  <si>
    <t>QUARTER CODES:</t>
  </si>
  <si>
    <t>Cal19</t>
  </si>
  <si>
    <t>Q1</t>
  </si>
  <si>
    <t>A</t>
  </si>
  <si>
    <t>Cal20</t>
  </si>
  <si>
    <t>B</t>
  </si>
  <si>
    <t>Q3</t>
  </si>
  <si>
    <t>C</t>
  </si>
  <si>
    <t>Platts 62%</t>
  </si>
  <si>
    <t>Port stock</t>
  </si>
  <si>
    <t xml:space="preserve">RMB </t>
  </si>
  <si>
    <t>Q4</t>
  </si>
  <si>
    <t>D</t>
  </si>
  <si>
    <t xml:space="preserve"> </t>
  </si>
  <si>
    <t>USD</t>
  </si>
  <si>
    <t xml:space="preserve">Phys </t>
  </si>
  <si>
    <t xml:space="preserve">Paper </t>
  </si>
  <si>
    <t xml:space="preserve">Port price </t>
  </si>
  <si>
    <t>DCE Equiv.</t>
  </si>
  <si>
    <t>RMB</t>
  </si>
  <si>
    <t>Cal19/20</t>
  </si>
  <si>
    <t>Q1 19</t>
  </si>
  <si>
    <t xml:space="preserve">Platts FOB </t>
  </si>
  <si>
    <t>Nov</t>
  </si>
  <si>
    <t>Dec</t>
  </si>
  <si>
    <t>Jan</t>
  </si>
  <si>
    <t>Feb</t>
  </si>
  <si>
    <t>Mar</t>
  </si>
  <si>
    <t>C5 Rates used</t>
  </si>
  <si>
    <t xml:space="preserve">Oct </t>
  </si>
  <si>
    <t xml:space="preserve">Nov </t>
  </si>
  <si>
    <t>Product</t>
  </si>
  <si>
    <t>Fe</t>
  </si>
  <si>
    <t>SiO2</t>
  </si>
  <si>
    <t>Al2O3</t>
  </si>
  <si>
    <t>P</t>
  </si>
  <si>
    <t>Mn</t>
  </si>
  <si>
    <t>LOI</t>
  </si>
  <si>
    <t>Moisture</t>
  </si>
  <si>
    <t>IOCJ</t>
  </si>
  <si>
    <t>PFCJ</t>
  </si>
  <si>
    <t>SSFG</t>
  </si>
  <si>
    <t>SFHG</t>
  </si>
  <si>
    <t>LOBG</t>
  </si>
  <si>
    <t>LONS</t>
  </si>
  <si>
    <t>SSFT</t>
  </si>
  <si>
    <t>SFHT</t>
  </si>
  <si>
    <t>LOBT</t>
  </si>
  <si>
    <t>IOUR</t>
  </si>
  <si>
    <t>SFUR</t>
  </si>
  <si>
    <t>LOAU</t>
  </si>
  <si>
    <t>IOSO</t>
  </si>
  <si>
    <t>STEEL FOB Calculator</t>
  </si>
  <si>
    <t>Acutal Billet price</t>
  </si>
  <si>
    <t>Billet + sq bar invoice</t>
  </si>
  <si>
    <t xml:space="preserve">FX Rate </t>
  </si>
  <si>
    <t xml:space="preserve">Billet before fx </t>
  </si>
  <si>
    <t>Final FOB price</t>
  </si>
  <si>
    <t>{（EXW + Cost of Square Bar Invoice）*0.8889+ Transportation Fee from Mill to Departure Port</t>
  </si>
  <si>
    <t>+Port Charges }/Exchange Rate =FOB Price</t>
  </si>
  <si>
    <t>Steel margin calculation</t>
  </si>
  <si>
    <t>Pig iron=1.6*FE+0.45* 1st grade Metallurgical Coke
Billet cost=（0.96*Pig iron cost+0.18*scrap cost）/0.86
Billet cost=16kt ore+5ktcoke+1050+130
Rebar rolling cost: Billet cost +180
HRC cost: Billet cost +250
Strip steel cost: Billet cost +120-140
CRC cost: Billet cost +450</t>
  </si>
  <si>
    <t>DCE/Port spread</t>
  </si>
  <si>
    <t xml:space="preserve">IOCJ Vs PBF </t>
  </si>
  <si>
    <t xml:space="preserve">IOCJ  </t>
  </si>
  <si>
    <t>diff IOCJ Vs PBF</t>
  </si>
  <si>
    <t>PBF (61%)</t>
  </si>
  <si>
    <t>Cal Spread val</t>
  </si>
  <si>
    <t>PHYSICAL CALCS.</t>
  </si>
  <si>
    <t>Mysteel 62%</t>
  </si>
  <si>
    <t>Mysteel portside 62%</t>
  </si>
  <si>
    <t>Q2 19</t>
  </si>
  <si>
    <t>Q1'19/Q2'19</t>
  </si>
  <si>
    <t>Q2 20</t>
  </si>
  <si>
    <t>Q3 19</t>
  </si>
  <si>
    <t>Q4 19</t>
  </si>
  <si>
    <t>Q1 20</t>
  </si>
  <si>
    <t>Q3 20</t>
  </si>
  <si>
    <t>Q4 20</t>
  </si>
  <si>
    <t>Long dated</t>
  </si>
  <si>
    <t>Cal 20</t>
  </si>
  <si>
    <t>Diff</t>
  </si>
  <si>
    <t>SFHE Rebar vs DCE</t>
  </si>
  <si>
    <t>Differential (rebar vs dce)</t>
  </si>
  <si>
    <t>Active Dce usd Equiv Val</t>
  </si>
  <si>
    <t xml:space="preserve">Cal18/19/20 fly </t>
  </si>
  <si>
    <t>Q2'19/Q3'19</t>
  </si>
  <si>
    <t xml:space="preserve">Act vs 2nd active dce cont. </t>
  </si>
  <si>
    <t>Period</t>
  </si>
  <si>
    <t xml:space="preserve"> Size</t>
  </si>
  <si>
    <t>Ask</t>
  </si>
  <si>
    <t>phys cargo price</t>
  </si>
  <si>
    <t xml:space="preserve">Index trading level </t>
  </si>
  <si>
    <t>Oct</t>
  </si>
  <si>
    <t>Platts LP</t>
  </si>
  <si>
    <t>Q3'19/Q4'19</t>
  </si>
  <si>
    <t>Cal20/21</t>
  </si>
  <si>
    <t>Cal19/21</t>
  </si>
  <si>
    <t>Cal21</t>
  </si>
  <si>
    <t>Q4 21</t>
  </si>
  <si>
    <t>Cal 21</t>
  </si>
  <si>
    <t>Q1 21</t>
  </si>
  <si>
    <t>Q2 21</t>
  </si>
  <si>
    <t>Q3 21</t>
  </si>
  <si>
    <t>PLATTS PBF</t>
  </si>
  <si>
    <t xml:space="preserve">USD </t>
  </si>
  <si>
    <t>Nov/Dec</t>
  </si>
  <si>
    <t>Q4'19/Q1'20</t>
  </si>
  <si>
    <t>Dec/Jan</t>
  </si>
  <si>
    <t>NOV 18</t>
  </si>
  <si>
    <t>DEC 18</t>
  </si>
  <si>
    <t>seaborne vs port diff</t>
  </si>
  <si>
    <t>JAN 19</t>
  </si>
  <si>
    <t>Jan/Feb</t>
  </si>
  <si>
    <t>FEB 19</t>
  </si>
  <si>
    <t>Feb/Mar</t>
  </si>
  <si>
    <t>Q1'20/Q2'20</t>
  </si>
  <si>
    <t>Platts vs Mysteel</t>
  </si>
  <si>
    <t>MAR 19</t>
  </si>
  <si>
    <t>Mar/Apr</t>
  </si>
  <si>
    <t>APR 19</t>
  </si>
  <si>
    <t>Mids</t>
  </si>
  <si>
    <t>1H'19/Cal19</t>
  </si>
  <si>
    <t>1H'19/Cal20</t>
  </si>
  <si>
    <t>2H'19/Cal'19</t>
  </si>
  <si>
    <t>CAL20</t>
  </si>
  <si>
    <t>MAY 19</t>
  </si>
  <si>
    <t>May/Jun</t>
  </si>
  <si>
    <t>Q2'20/Q3'20</t>
  </si>
  <si>
    <t>2H'18/Cal20</t>
  </si>
  <si>
    <t>Q123'18/Cal20</t>
  </si>
  <si>
    <t>May</t>
  </si>
  <si>
    <t>Aug</t>
  </si>
  <si>
    <t>Mapped Cells - Password Protected (123456)</t>
  </si>
  <si>
    <t>M Counter</t>
  </si>
  <si>
    <t>Q Counter</t>
  </si>
  <si>
    <t>Y Counter</t>
  </si>
  <si>
    <t>Cal22</t>
  </si>
  <si>
    <t>QTY Set</t>
  </si>
  <si>
    <t>FEB 20</t>
  </si>
  <si>
    <t>Cal23</t>
  </si>
  <si>
    <t>MAR 20</t>
  </si>
  <si>
    <t>APR 20</t>
  </si>
  <si>
    <t>MAY 20</t>
  </si>
  <si>
    <t>JUN 20</t>
  </si>
  <si>
    <t>JUL 20</t>
  </si>
  <si>
    <t>SEPT 19</t>
  </si>
  <si>
    <t>OCT 19</t>
  </si>
  <si>
    <t>NOV 19</t>
  </si>
  <si>
    <t>Q1 22</t>
  </si>
  <si>
    <t>DEC 19</t>
  </si>
  <si>
    <t>Q2 22</t>
  </si>
  <si>
    <t>JAN 20</t>
  </si>
  <si>
    <t>Q3 22</t>
  </si>
  <si>
    <t>Q4 22</t>
  </si>
  <si>
    <t>AUG20</t>
  </si>
  <si>
    <t>SEPT 20</t>
  </si>
  <si>
    <t>OCT 20</t>
  </si>
  <si>
    <t>NOV 20</t>
  </si>
  <si>
    <t>DEC 20</t>
  </si>
  <si>
    <t>JAN 21</t>
  </si>
  <si>
    <t>FEB 21</t>
  </si>
  <si>
    <t>MAR 21</t>
  </si>
  <si>
    <t>APR 21</t>
  </si>
  <si>
    <t>MAY 21</t>
  </si>
  <si>
    <t>JUN 21</t>
  </si>
  <si>
    <t>JUL 21</t>
  </si>
  <si>
    <t>AUG21</t>
  </si>
  <si>
    <t>SEPT 21</t>
  </si>
  <si>
    <t>OCT 21</t>
  </si>
  <si>
    <t>NOV 21</t>
  </si>
  <si>
    <t>DEC 21</t>
  </si>
  <si>
    <t>JAN 22</t>
  </si>
  <si>
    <t>FEB 22</t>
  </si>
  <si>
    <t>MAR 22</t>
  </si>
  <si>
    <t>APR 22</t>
  </si>
  <si>
    <t>MAY 22</t>
  </si>
  <si>
    <t>JUN 22</t>
  </si>
  <si>
    <t>JUL 22</t>
  </si>
  <si>
    <t>AUG22</t>
  </si>
  <si>
    <t>SEPT 22</t>
  </si>
  <si>
    <t>OCT 22</t>
  </si>
  <si>
    <t>NOV 22</t>
  </si>
  <si>
    <t>DEC 22</t>
  </si>
  <si>
    <t>JUN 19</t>
  </si>
  <si>
    <t>JUL 19</t>
  </si>
  <si>
    <t>AUG 19</t>
  </si>
  <si>
    <t>Apr/May</t>
  </si>
  <si>
    <t>Jun/Jul</t>
  </si>
  <si>
    <t>Jul/Aug</t>
  </si>
  <si>
    <t>Aug/Sep</t>
  </si>
  <si>
    <t>Sep/Oct</t>
  </si>
  <si>
    <t>Oct/Nov</t>
  </si>
  <si>
    <t>Q3'20/Q4'20</t>
  </si>
  <si>
    <t>Q4'20/Q1'21</t>
  </si>
  <si>
    <t>Q1'21/Q2'21</t>
  </si>
  <si>
    <t>Q2'21/Q3'21</t>
  </si>
  <si>
    <t>Q3'21/Q4'21</t>
  </si>
  <si>
    <t>Q4'21/Q1'22</t>
  </si>
  <si>
    <t>Q1'22/Q2'22</t>
  </si>
  <si>
    <t>Q2'22/Q3'22</t>
  </si>
  <si>
    <t>Q3'22/Q4'22</t>
  </si>
  <si>
    <t>Cal21/22</t>
  </si>
  <si>
    <t>Cal22/23</t>
  </si>
  <si>
    <t>MS Counter</t>
  </si>
  <si>
    <t>QS Counter</t>
  </si>
  <si>
    <t>YS Counter</t>
  </si>
  <si>
    <t>Default Bid QTY (5)</t>
  </si>
  <si>
    <t>Default Ask QTY (5)</t>
  </si>
  <si>
    <t>*10 Value for Counter + Roll to reset to top</t>
  </si>
  <si>
    <t>Spread Mappings</t>
  </si>
  <si>
    <t>Trayport Use (Do NOT hide columns - prices will pull from screen)</t>
  </si>
  <si>
    <t>*74 Value for Counter + Roll to reset to top</t>
  </si>
  <si>
    <t>62%</t>
  </si>
  <si>
    <t>MB 65%</t>
  </si>
  <si>
    <t>65%</t>
  </si>
  <si>
    <t>Spreads 65/62%</t>
  </si>
  <si>
    <t>Cal 22</t>
  </si>
  <si>
    <t xml:space="preserve">May  SGX  over Active DCE </t>
  </si>
  <si>
    <t>Q1 23</t>
  </si>
  <si>
    <t>Cal20/22</t>
  </si>
  <si>
    <t>Phys Print (61%)</t>
  </si>
  <si>
    <t>Q2 23</t>
  </si>
  <si>
    <t>Q1/Q2'20</t>
  </si>
  <si>
    <t>Sept/Q4</t>
  </si>
  <si>
    <t>Sept/Q3</t>
  </si>
  <si>
    <t>Aug/Q3</t>
  </si>
  <si>
    <t>Aug/Q4</t>
  </si>
  <si>
    <t>Aug/Q1</t>
  </si>
  <si>
    <t>Sept/Q1</t>
  </si>
  <si>
    <t>Oct/Q4</t>
  </si>
  <si>
    <t>Oct/Q1</t>
  </si>
  <si>
    <t>Nov/Q4</t>
  </si>
  <si>
    <t>Nov/Q1</t>
  </si>
  <si>
    <t xml:space="preserve">Dec/Q1 </t>
  </si>
  <si>
    <t>CAL21</t>
  </si>
  <si>
    <t>Q3 23</t>
  </si>
  <si>
    <t xml:space="preserve">Spread Formulae reference </t>
  </si>
  <si>
    <t>Jun</t>
  </si>
  <si>
    <t>Jul</t>
  </si>
  <si>
    <t>Sep</t>
  </si>
  <si>
    <t>M+1</t>
  </si>
  <si>
    <t>M+2</t>
  </si>
  <si>
    <t>M+3</t>
  </si>
  <si>
    <t>Q+1</t>
  </si>
  <si>
    <t>Q+2</t>
  </si>
  <si>
    <t>Q+3</t>
  </si>
  <si>
    <t>Cal</t>
  </si>
  <si>
    <t>Dec 19</t>
  </si>
  <si>
    <t>Jan 20</t>
  </si>
  <si>
    <t>Feb 20</t>
  </si>
  <si>
    <t>Mar 20</t>
  </si>
  <si>
    <t>Apr 20</t>
  </si>
  <si>
    <t>May 20</t>
  </si>
  <si>
    <t>Q+4</t>
  </si>
  <si>
    <t>Cal+1</t>
  </si>
  <si>
    <t>M+4</t>
  </si>
  <si>
    <t>M+5</t>
  </si>
  <si>
    <t>M+6</t>
  </si>
  <si>
    <t>M+7</t>
  </si>
  <si>
    <t>M+8</t>
  </si>
  <si>
    <t xml:space="preserve">65% Spread </t>
  </si>
  <si>
    <t>Q1'20/Cal21</t>
  </si>
  <si>
    <t xml:space="preserve">Spread Vals 62% </t>
  </si>
  <si>
    <t>Spread vals 65/62%</t>
  </si>
  <si>
    <t>Jun 20</t>
  </si>
  <si>
    <t>Q2/Q3'20</t>
  </si>
  <si>
    <t>Q3/Q4'20</t>
  </si>
  <si>
    <t>Spread vals 65%</t>
  </si>
  <si>
    <t xml:space="preserve">LUMP </t>
  </si>
  <si>
    <t xml:space="preserve">Lump Spreads </t>
  </si>
  <si>
    <t>Q4 23</t>
  </si>
  <si>
    <t xml:space="preserve">Lump </t>
  </si>
  <si>
    <t>Lump spreads</t>
  </si>
  <si>
    <t>Jul 20</t>
  </si>
  <si>
    <t xml:space="preserve">Status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</si>
</sst>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$&quot;#,##0.00_);[Red]\(&quot;$&quot;#,##0.00\)"/>
    <numFmt numFmtId="164" formatCode="0.000"/>
    <numFmt numFmtId="165" formatCode="0.0000"/>
    <numFmt numFmtId="166" formatCode="&quot;$&quot;#,##0.00"/>
    <numFmt numFmtId="167" formatCode="[$$-409]#,##0.00"/>
    <numFmt numFmtId="168" formatCode="0.00_ "/>
  </numFmts>
  <fonts count="94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Arial"/>
      <family val="2"/>
    </font>
    <font>
      <b/>
      <sz val="10"/>
      <name val="Times New Roman"/>
      <family val="1"/>
    </font>
    <font>
      <sz val="10"/>
      <name val="Arial"/>
      <family val="2"/>
    </font>
    <font>
      <b/>
      <sz val="11"/>
      <name val="Arial"/>
      <family val="2"/>
    </font>
    <font>
      <b/>
      <sz val="11"/>
      <color indexed="9"/>
      <name val="Calibri"/>
      <family val="2"/>
    </font>
    <font>
      <sz val="9"/>
      <name val="宋体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2" tint="-0.499984740745262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rgb="FF7030A0"/>
      <name val="Arial"/>
      <family val="2"/>
    </font>
    <font>
      <sz val="9"/>
      <color theme="1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u/>
      <sz val="12"/>
      <color rgb="FFFF0000"/>
      <name val="Arial"/>
      <family val="2"/>
    </font>
    <font>
      <b/>
      <sz val="9"/>
      <color theme="1"/>
      <name val="Arial"/>
      <family val="2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0"/>
      <name val="Calibri Light"/>
      <family val="2"/>
      <scheme val="major"/>
    </font>
    <font>
      <u/>
      <sz val="11"/>
      <name val="Calibri Light"/>
      <family val="2"/>
      <scheme val="maj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sz val="11"/>
      <color rgb="FF0070C0"/>
      <name val="Arial"/>
      <family val="2"/>
    </font>
    <font>
      <b/>
      <u/>
      <sz val="11"/>
      <color theme="1"/>
      <name val="Arial"/>
      <family val="2"/>
    </font>
    <font>
      <sz val="11"/>
      <color rgb="FFFFFF00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b/>
      <sz val="11"/>
      <color rgb="FF0070C0"/>
      <name val="Arial"/>
      <family val="2"/>
    </font>
    <font>
      <b/>
      <sz val="11"/>
      <color theme="0"/>
      <name val="Arial"/>
      <family val="2"/>
    </font>
    <font>
      <sz val="11"/>
      <color rgb="FF7030A0"/>
      <name val="Calibri"/>
      <family val="2"/>
      <scheme val="minor"/>
    </font>
    <font>
      <sz val="11"/>
      <color rgb="FF000000"/>
      <name val="Calibri"/>
      <family val="2"/>
    </font>
    <font>
      <u/>
      <sz val="11"/>
      <color rgb="FFFF0000"/>
      <name val="Calibri"/>
      <family val="2"/>
      <scheme val="minor"/>
    </font>
    <font>
      <sz val="11"/>
      <color rgb="FF262626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theme="1"/>
      <name val="Calibri"/>
      <family val="2"/>
    </font>
    <font>
      <b/>
      <sz val="12"/>
      <color rgb="FF0070C0"/>
      <name val="Arial"/>
      <family val="2"/>
    </font>
    <font>
      <sz val="12"/>
      <color rgb="FF0070C0"/>
      <name val="Arial"/>
      <family val="2"/>
    </font>
    <font>
      <sz val="11"/>
      <color theme="7" tint="0.59999389629810485"/>
      <name val="Arial"/>
      <family val="2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u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7" tint="0.59999389629810485"/>
      <name val="Arial"/>
      <family val="2"/>
    </font>
    <font>
      <b/>
      <sz val="11"/>
      <color rgb="FFFFFF00"/>
      <name val="Arial"/>
      <family val="2"/>
    </font>
    <font>
      <u/>
      <sz val="11"/>
      <color theme="0"/>
      <name val="Arial"/>
      <family val="2"/>
    </font>
    <font>
      <b/>
      <u/>
      <sz val="11"/>
      <color theme="0"/>
      <name val="Arial"/>
      <family val="2"/>
    </font>
    <font>
      <b/>
      <sz val="11"/>
      <color theme="7" tint="0.39997558519241921"/>
      <name val="Arial"/>
      <family val="2"/>
    </font>
    <font>
      <b/>
      <sz val="11"/>
      <color rgb="FF92D050"/>
      <name val="Arial"/>
      <family val="2"/>
    </font>
    <font>
      <sz val="11"/>
      <color rgb="FF92D050"/>
      <name val="Arial"/>
      <family val="2"/>
    </font>
    <font>
      <b/>
      <i/>
      <u/>
      <sz val="11"/>
      <color theme="1" tint="0.249977111117893"/>
      <name val="Arial"/>
      <family val="2"/>
    </font>
    <font>
      <b/>
      <sz val="11"/>
      <color theme="4"/>
      <name val="Calibri"/>
      <family val="2"/>
      <scheme val="minor"/>
    </font>
    <font>
      <b/>
      <u/>
      <sz val="11"/>
      <color theme="4"/>
      <name val="Arial"/>
      <family val="2"/>
    </font>
    <font>
      <b/>
      <sz val="11"/>
      <color theme="7" tint="-0.249977111117893"/>
      <name val="Calibri"/>
      <family val="2"/>
      <scheme val="minor"/>
    </font>
    <font>
      <sz val="11"/>
      <color rgb="FFFFFF00"/>
      <name val="Calibri"/>
      <family val="2"/>
    </font>
    <font>
      <b/>
      <sz val="11"/>
      <color theme="8"/>
      <name val="Arial"/>
      <family val="2"/>
    </font>
    <font>
      <sz val="13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4"/>
      <name val="Arial"/>
      <family val="2"/>
    </font>
    <font>
      <sz val="11"/>
      <color theme="4"/>
      <name val="Arial"/>
      <family val="2"/>
    </font>
    <font>
      <b/>
      <sz val="11"/>
      <color theme="5"/>
      <name val="Arial"/>
      <family val="2"/>
    </font>
    <font>
      <b/>
      <u/>
      <sz val="11"/>
      <color theme="7" tint="0.39997558519241921"/>
      <name val="Arial"/>
      <family val="2"/>
    </font>
    <font>
      <b/>
      <sz val="13"/>
      <color rgb="FFFFFF00"/>
      <name val="Calibri"/>
      <family val="2"/>
      <scheme val="minor"/>
    </font>
    <font>
      <b/>
      <sz val="13"/>
      <color theme="5" tint="-0.499984740745262"/>
      <name val="Calibri"/>
      <family val="2"/>
      <scheme val="minor"/>
    </font>
    <font>
      <b/>
      <sz val="13"/>
      <color theme="2" tint="-0.749992370372631"/>
      <name val="Calibri"/>
      <family val="2"/>
      <scheme val="minor"/>
    </font>
    <font>
      <b/>
      <u/>
      <sz val="11"/>
      <name val="Arial"/>
      <family val="2"/>
    </font>
    <font>
      <b/>
      <u/>
      <sz val="11"/>
      <color theme="4" tint="-0.249977111117893"/>
      <name val="Arial"/>
      <family val="2"/>
    </font>
    <font>
      <b/>
      <sz val="12"/>
      <color theme="0"/>
      <name val="Arial"/>
      <family val="2"/>
    </font>
    <font>
      <b/>
      <u/>
      <sz val="12"/>
      <color theme="0"/>
      <name val="Arial"/>
      <family val="2"/>
    </font>
    <font>
      <u/>
      <sz val="11"/>
      <color theme="1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9FA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DE7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9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ck">
        <color theme="6" tint="0.59999389629810485"/>
      </bottom>
      <diagonal/>
    </border>
    <border>
      <left/>
      <right style="medium">
        <color indexed="64"/>
      </right>
      <top/>
      <bottom style="thick">
        <color theme="6"/>
      </bottom>
      <diagonal/>
    </border>
    <border>
      <left style="medium">
        <color indexed="64"/>
      </left>
      <right style="thin">
        <color indexed="64"/>
      </right>
      <top/>
      <bottom style="thick">
        <color theme="6"/>
      </bottom>
      <diagonal/>
    </border>
    <border>
      <left style="thin">
        <color theme="2" tint="-0.499984740745262"/>
      </left>
      <right style="thin">
        <color indexed="64"/>
      </right>
      <top style="thin">
        <color theme="2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2" tint="-0.499984740745262"/>
      </right>
      <top style="thin">
        <color theme="2" tint="-0.499984740745262"/>
      </top>
      <bottom style="thin">
        <color indexed="64"/>
      </bottom>
      <diagonal/>
    </border>
    <border>
      <left style="thin">
        <color theme="2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2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2" tint="-0.499984740745262"/>
      </bottom>
      <diagonal/>
    </border>
    <border>
      <left style="thin">
        <color indexed="64"/>
      </left>
      <right style="thin">
        <color theme="2" tint="-0.499984740745262"/>
      </right>
      <top style="thin">
        <color indexed="64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indexed="64"/>
      </right>
      <top style="thin">
        <color theme="2" tint="-0.49998474074526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0.499984740745262"/>
      </top>
      <bottom style="medium">
        <color indexed="64"/>
      </bottom>
      <diagonal/>
    </border>
    <border>
      <left style="thin">
        <color indexed="64"/>
      </left>
      <right style="thin">
        <color theme="2" tint="-0.499984740745262"/>
      </right>
      <top style="thin">
        <color theme="2" tint="-0.499984740745262"/>
      </top>
      <bottom style="medium">
        <color indexed="64"/>
      </bottom>
      <diagonal/>
    </border>
    <border>
      <left style="thin">
        <color theme="2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2" tint="-0.499984740745262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theme="6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medium">
        <color indexed="64"/>
      </left>
      <right style="thin">
        <color indexed="64"/>
      </right>
      <top style="thick">
        <color theme="6"/>
      </top>
      <bottom style="thick">
        <color theme="6"/>
      </bottom>
      <diagonal/>
    </border>
    <border>
      <left/>
      <right style="medium">
        <color indexed="64"/>
      </right>
      <top style="thick">
        <color theme="6"/>
      </top>
      <bottom style="thick">
        <color theme="6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/>
      <right style="thin">
        <color indexed="64"/>
      </right>
      <top/>
      <bottom style="thin">
        <color theme="6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rgb="FFFF0000"/>
      </right>
      <top/>
      <bottom/>
      <diagonal/>
    </border>
    <border>
      <left style="thin">
        <color indexed="64"/>
      </left>
      <right style="medium">
        <color indexed="64"/>
      </right>
      <top style="thick">
        <color theme="6"/>
      </top>
      <bottom/>
      <diagonal/>
    </border>
    <border>
      <left style="thin">
        <color indexed="64"/>
      </left>
      <right style="medium">
        <color indexed="64"/>
      </right>
      <top style="medium">
        <color theme="6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167" fontId="0" fillId="0" borderId="0"/>
    <xf numFmtId="167" fontId="6" fillId="4" borderId="0"/>
    <xf numFmtId="167" fontId="10" fillId="0" borderId="0">
      <alignment vertical="center"/>
    </xf>
    <xf numFmtId="167" fontId="4" fillId="0" borderId="0"/>
    <xf numFmtId="167" fontId="10" fillId="0" borderId="0"/>
    <xf numFmtId="167" fontId="93" fillId="0" borderId="0" applyNumberFormat="0" applyFill="0" applyBorder="0" applyAlignment="0" applyProtection="0"/>
  </cellStyleXfs>
  <cellXfs count="657">
    <xf numFmtId="167" fontId="0" fillId="0" borderId="0" xfId="0"/>
    <xf numFmtId="167" fontId="14" fillId="0" borderId="0" xfId="0" applyFont="1"/>
    <xf numFmtId="167" fontId="0" fillId="0" borderId="0" xfId="0" applyAlignment="1">
      <alignment wrapText="1"/>
    </xf>
    <xf numFmtId="167" fontId="0" fillId="0" borderId="0" xfId="0" applyBorder="1"/>
    <xf numFmtId="167" fontId="14" fillId="0" borderId="0" xfId="0" applyFont="1" applyFill="1" applyBorder="1"/>
    <xf numFmtId="167" fontId="0" fillId="0" borderId="0" xfId="0" applyFill="1" applyBorder="1" applyAlignment="1">
      <alignment horizontal="center"/>
    </xf>
    <xf numFmtId="167" fontId="15" fillId="0" borderId="0" xfId="0" applyFont="1" applyFill="1" applyBorder="1"/>
    <xf numFmtId="167" fontId="15" fillId="0" borderId="0" xfId="0" applyFont="1" applyFill="1" applyBorder="1" applyAlignment="1">
      <alignment horizontal="center"/>
    </xf>
    <xf numFmtId="167" fontId="0" fillId="0" borderId="0" xfId="0" applyFill="1" applyBorder="1"/>
    <xf numFmtId="167" fontId="12" fillId="0" borderId="0" xfId="0" applyFon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/>
    </xf>
    <xf numFmtId="167" fontId="17" fillId="5" borderId="1" xfId="0" applyFont="1" applyFill="1" applyBorder="1" applyAlignment="1">
      <alignment horizontal="center"/>
    </xf>
    <xf numFmtId="167" fontId="17" fillId="5" borderId="1" xfId="0" applyFont="1" applyFill="1" applyBorder="1" applyAlignment="1">
      <alignment horizontal="center" wrapText="1"/>
    </xf>
    <xf numFmtId="164" fontId="17" fillId="5" borderId="2" xfId="0" applyNumberFormat="1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167" fontId="18" fillId="6" borderId="1" xfId="0" applyFont="1" applyFill="1" applyBorder="1" applyAlignment="1">
      <alignment horizontal="center"/>
    </xf>
    <xf numFmtId="167" fontId="19" fillId="0" borderId="1" xfId="0" applyFont="1" applyFill="1" applyBorder="1" applyAlignment="1">
      <alignment horizontal="center"/>
    </xf>
    <xf numFmtId="165" fontId="20" fillId="0" borderId="2" xfId="0" applyNumberFormat="1" applyFont="1" applyFill="1" applyBorder="1" applyAlignment="1">
      <alignment horizontal="center"/>
    </xf>
    <xf numFmtId="167" fontId="21" fillId="0" borderId="3" xfId="0" applyFont="1" applyFill="1" applyBorder="1" applyAlignment="1">
      <alignment horizontal="center" vertical="center" wrapText="1"/>
    </xf>
    <xf numFmtId="167" fontId="22" fillId="0" borderId="3" xfId="0" applyFont="1" applyFill="1" applyBorder="1" applyAlignment="1">
      <alignment horizontal="center" vertical="center" wrapText="1"/>
    </xf>
    <xf numFmtId="2" fontId="20" fillId="0" borderId="4" xfId="0" applyNumberFormat="1" applyFont="1" applyFill="1" applyBorder="1" applyAlignment="1">
      <alignment horizontal="center"/>
    </xf>
    <xf numFmtId="17" fontId="23" fillId="0" borderId="0" xfId="0" applyNumberFormat="1" applyFont="1" applyFill="1" applyBorder="1" applyAlignment="1">
      <alignment horizontal="center" vertical="center" wrapText="1"/>
    </xf>
    <xf numFmtId="167" fontId="24" fillId="0" borderId="3" xfId="0" applyFont="1" applyFill="1" applyBorder="1" applyAlignment="1">
      <alignment horizontal="center" vertical="center" wrapText="1"/>
    </xf>
    <xf numFmtId="10" fontId="24" fillId="0" borderId="4" xfId="0" applyNumberFormat="1" applyFont="1" applyFill="1" applyBorder="1" applyAlignment="1">
      <alignment horizontal="center" vertical="center" wrapText="1"/>
    </xf>
    <xf numFmtId="167" fontId="23" fillId="0" borderId="0" xfId="0" applyFont="1" applyFill="1" applyBorder="1" applyAlignment="1">
      <alignment horizontal="center" vertical="center" wrapText="1"/>
    </xf>
    <xf numFmtId="3" fontId="23" fillId="0" borderId="0" xfId="0" applyNumberFormat="1" applyFont="1" applyFill="1" applyBorder="1" applyAlignment="1">
      <alignment horizontal="center" vertical="center" wrapText="1"/>
    </xf>
    <xf numFmtId="166" fontId="25" fillId="7" borderId="1" xfId="0" applyNumberFormat="1" applyFont="1" applyFill="1" applyBorder="1" applyAlignment="1">
      <alignment horizontal="center" vertical="center" wrapText="1"/>
    </xf>
    <xf numFmtId="166" fontId="26" fillId="7" borderId="1" xfId="0" applyNumberFormat="1" applyFont="1" applyFill="1" applyBorder="1" applyAlignment="1">
      <alignment horizontal="center" vertical="center" wrapText="1"/>
    </xf>
    <xf numFmtId="10" fontId="24" fillId="7" borderId="2" xfId="0" applyNumberFormat="1" applyFont="1" applyFill="1" applyBorder="1" applyAlignment="1">
      <alignment horizontal="center" vertical="center" wrapText="1"/>
    </xf>
    <xf numFmtId="10" fontId="23" fillId="0" borderId="0" xfId="0" applyNumberFormat="1" applyFont="1" applyFill="1" applyBorder="1" applyAlignment="1">
      <alignment horizontal="center" vertical="center" wrapText="1"/>
    </xf>
    <xf numFmtId="17" fontId="27" fillId="0" borderId="0" xfId="0" applyNumberFormat="1" applyFont="1" applyFill="1" applyBorder="1" applyAlignment="1">
      <alignment horizontal="center" vertical="center" wrapText="1"/>
    </xf>
    <xf numFmtId="167" fontId="27" fillId="0" borderId="0" xfId="0" applyFont="1" applyFill="1" applyBorder="1" applyAlignment="1">
      <alignment horizontal="center" vertical="center"/>
    </xf>
    <xf numFmtId="167" fontId="27" fillId="0" borderId="0" xfId="0" applyFont="1" applyFill="1" applyBorder="1" applyAlignment="1">
      <alignment horizontal="center" vertical="center" wrapText="1"/>
    </xf>
    <xf numFmtId="10" fontId="27" fillId="0" borderId="0" xfId="0" applyNumberFormat="1" applyFont="1" applyFill="1" applyBorder="1" applyAlignment="1">
      <alignment horizontal="center" vertical="center" wrapText="1"/>
    </xf>
    <xf numFmtId="17" fontId="27" fillId="0" borderId="0" xfId="0" applyNumberFormat="1" applyFont="1" applyBorder="1" applyAlignment="1">
      <alignment horizontal="center" vertical="center" wrapText="1"/>
    </xf>
    <xf numFmtId="167" fontId="27" fillId="0" borderId="0" xfId="0" applyFont="1" applyBorder="1" applyAlignment="1">
      <alignment horizontal="center" vertical="center"/>
    </xf>
    <xf numFmtId="167" fontId="27" fillId="0" borderId="0" xfId="0" applyFont="1" applyBorder="1" applyAlignment="1">
      <alignment horizontal="center" vertical="center" wrapText="1"/>
    </xf>
    <xf numFmtId="10" fontId="27" fillId="0" borderId="0" xfId="0" applyNumberFormat="1" applyFont="1" applyBorder="1" applyAlignment="1">
      <alignment horizontal="center" vertical="center" wrapText="1"/>
    </xf>
    <xf numFmtId="167" fontId="23" fillId="0" borderId="0" xfId="0" applyFont="1" applyBorder="1" applyAlignment="1">
      <alignment horizontal="center" vertical="center" wrapText="1"/>
    </xf>
    <xf numFmtId="17" fontId="23" fillId="0" borderId="0" xfId="0" applyNumberFormat="1" applyFont="1" applyBorder="1" applyAlignment="1">
      <alignment horizontal="center" vertical="center" wrapText="1"/>
    </xf>
    <xf numFmtId="10" fontId="23" fillId="0" borderId="0" xfId="0" applyNumberFormat="1" applyFont="1" applyBorder="1" applyAlignment="1">
      <alignment horizontal="center" vertical="center" wrapText="1"/>
    </xf>
    <xf numFmtId="16" fontId="23" fillId="0" borderId="0" xfId="0" applyNumberFormat="1" applyFont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shrinkToFit="1"/>
    </xf>
    <xf numFmtId="3" fontId="23" fillId="0" borderId="0" xfId="0" applyNumberFormat="1" applyFont="1" applyBorder="1" applyAlignment="1">
      <alignment horizontal="center" vertical="center" wrapText="1"/>
    </xf>
    <xf numFmtId="167" fontId="21" fillId="0" borderId="5" xfId="0" applyFont="1" applyBorder="1" applyAlignment="1">
      <alignment horizontal="center"/>
    </xf>
    <xf numFmtId="167" fontId="21" fillId="0" borderId="6" xfId="0" applyFont="1" applyBorder="1" applyAlignment="1">
      <alignment horizontal="center"/>
    </xf>
    <xf numFmtId="167" fontId="21" fillId="0" borderId="7" xfId="0" applyFont="1" applyBorder="1" applyAlignment="1">
      <alignment horizontal="center"/>
    </xf>
    <xf numFmtId="167" fontId="24" fillId="0" borderId="8" xfId="0" applyFont="1" applyBorder="1" applyAlignment="1">
      <alignment horizontal="center"/>
    </xf>
    <xf numFmtId="167" fontId="24" fillId="0" borderId="9" xfId="0" applyFont="1" applyBorder="1" applyAlignment="1">
      <alignment horizontal="center"/>
    </xf>
    <xf numFmtId="167" fontId="24" fillId="0" borderId="10" xfId="0" applyFont="1" applyBorder="1" applyAlignment="1">
      <alignment horizontal="center"/>
    </xf>
    <xf numFmtId="167" fontId="24" fillId="0" borderId="11" xfId="0" applyFont="1" applyBorder="1" applyAlignment="1">
      <alignment horizontal="center"/>
    </xf>
    <xf numFmtId="167" fontId="24" fillId="0" borderId="12" xfId="0" applyFont="1" applyBorder="1" applyAlignment="1">
      <alignment horizontal="center"/>
    </xf>
    <xf numFmtId="167" fontId="24" fillId="0" borderId="13" xfId="0" applyFont="1" applyBorder="1" applyAlignment="1">
      <alignment horizontal="center"/>
    </xf>
    <xf numFmtId="167" fontId="24" fillId="0" borderId="14" xfId="0" applyFont="1" applyBorder="1" applyAlignment="1">
      <alignment horizontal="center"/>
    </xf>
    <xf numFmtId="167" fontId="24" fillId="0" borderId="15" xfId="0" applyFont="1" applyBorder="1" applyAlignment="1">
      <alignment horizontal="center"/>
    </xf>
    <xf numFmtId="167" fontId="24" fillId="0" borderId="16" xfId="0" applyFont="1" applyBorder="1" applyAlignment="1">
      <alignment horizontal="center"/>
    </xf>
    <xf numFmtId="2" fontId="0" fillId="0" borderId="0" xfId="0" applyNumberFormat="1"/>
    <xf numFmtId="167" fontId="28" fillId="0" borderId="0" xfId="0" applyFont="1"/>
    <xf numFmtId="2" fontId="0" fillId="0" borderId="0" xfId="0" applyNumberFormat="1" applyAlignment="1">
      <alignment horizontal="center"/>
    </xf>
    <xf numFmtId="49" fontId="0" fillId="0" borderId="0" xfId="0" applyNumberFormat="1"/>
    <xf numFmtId="167" fontId="0" fillId="0" borderId="0" xfId="0" applyFont="1" applyBorder="1"/>
    <xf numFmtId="2" fontId="0" fillId="0" borderId="0" xfId="0" applyNumberFormat="1" applyFont="1" applyBorder="1"/>
    <xf numFmtId="49" fontId="0" fillId="0" borderId="0" xfId="0" applyNumberFormat="1" applyFont="1" applyFill="1" applyBorder="1"/>
    <xf numFmtId="49" fontId="0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"/>
    </xf>
    <xf numFmtId="167" fontId="0" fillId="8" borderId="0" xfId="0" applyFont="1" applyFill="1" applyBorder="1"/>
    <xf numFmtId="49" fontId="0" fillId="0" borderId="17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167" fontId="0" fillId="0" borderId="0" xfId="0" applyFont="1" applyFill="1" applyBorder="1"/>
    <xf numFmtId="2" fontId="29" fillId="0" borderId="0" xfId="0" applyNumberFormat="1" applyFont="1" applyBorder="1" applyAlignment="1">
      <alignment horizontal="center"/>
    </xf>
    <xf numFmtId="167" fontId="0" fillId="0" borderId="0" xfId="0" applyFont="1" applyFill="1" applyBorder="1" applyAlignment="1">
      <alignment horizontal="center"/>
    </xf>
    <xf numFmtId="167" fontId="0" fillId="0" borderId="0" xfId="0" applyFont="1" applyBorder="1" applyAlignment="1">
      <alignment horizontal="center"/>
    </xf>
    <xf numFmtId="167" fontId="0" fillId="8" borderId="0" xfId="0" applyFont="1" applyFill="1" applyBorder="1" applyAlignment="1">
      <alignment horizontal="center"/>
    </xf>
    <xf numFmtId="167" fontId="0" fillId="0" borderId="0" xfId="0" applyFont="1" applyBorder="1" applyAlignment="1">
      <alignment horizontal="left"/>
    </xf>
    <xf numFmtId="167" fontId="0" fillId="8" borderId="0" xfId="0" applyFont="1" applyFill="1" applyBorder="1" applyAlignment="1">
      <alignment horizontal="left"/>
    </xf>
    <xf numFmtId="2" fontId="0" fillId="6" borderId="12" xfId="0" applyNumberFormat="1" applyFont="1" applyFill="1" applyBorder="1" applyAlignment="1">
      <alignment horizontal="center"/>
    </xf>
    <xf numFmtId="167" fontId="0" fillId="8" borderId="0" xfId="0" applyNumberFormat="1" applyFont="1" applyFill="1" applyBorder="1" applyAlignment="1">
      <alignment horizontal="left"/>
    </xf>
    <xf numFmtId="167" fontId="0" fillId="8" borderId="0" xfId="0" applyFont="1" applyFill="1" applyBorder="1" applyAlignment="1">
      <alignment wrapText="1"/>
    </xf>
    <xf numFmtId="2" fontId="0" fillId="6" borderId="9" xfId="0" applyNumberFormat="1" applyFont="1" applyFill="1" applyBorder="1" applyAlignment="1">
      <alignment horizontal="center"/>
    </xf>
    <xf numFmtId="2" fontId="0" fillId="8" borderId="0" xfId="0" applyNumberFormat="1" applyFont="1" applyFill="1" applyBorder="1" applyAlignment="1">
      <alignment horizontal="center"/>
    </xf>
    <xf numFmtId="167" fontId="30" fillId="0" borderId="0" xfId="0" applyFont="1" applyFill="1" applyBorder="1" applyAlignment="1">
      <alignment horizontal="center"/>
    </xf>
    <xf numFmtId="167" fontId="31" fillId="0" borderId="0" xfId="0" applyFont="1" applyFill="1" applyBorder="1" applyAlignment="1">
      <alignment horizontal="center"/>
    </xf>
    <xf numFmtId="4" fontId="33" fillId="0" borderId="0" xfId="0" applyNumberFormat="1" applyFont="1" applyFill="1" applyBorder="1" applyAlignment="1">
      <alignment horizontal="center"/>
    </xf>
    <xf numFmtId="4" fontId="33" fillId="8" borderId="0" xfId="0" applyNumberFormat="1" applyFont="1" applyFill="1" applyBorder="1" applyAlignment="1">
      <alignment horizontal="center"/>
    </xf>
    <xf numFmtId="2" fontId="33" fillId="0" borderId="0" xfId="0" applyNumberFormat="1" applyFont="1" applyFill="1" applyBorder="1" applyAlignment="1">
      <alignment horizontal="center"/>
    </xf>
    <xf numFmtId="166" fontId="0" fillId="8" borderId="0" xfId="0" applyNumberFormat="1" applyFont="1" applyFill="1" applyBorder="1" applyAlignment="1">
      <alignment horizontal="center"/>
    </xf>
    <xf numFmtId="167" fontId="0" fillId="2" borderId="18" xfId="0" applyFont="1" applyFill="1" applyBorder="1"/>
    <xf numFmtId="167" fontId="0" fillId="2" borderId="0" xfId="0" applyFont="1" applyFill="1" applyBorder="1"/>
    <xf numFmtId="167" fontId="3" fillId="2" borderId="0" xfId="0" applyFont="1" applyFill="1" applyBorder="1"/>
    <xf numFmtId="167" fontId="0" fillId="2" borderId="0" xfId="0" applyFill="1" applyBorder="1"/>
    <xf numFmtId="2" fontId="35" fillId="8" borderId="0" xfId="0" applyNumberFormat="1" applyFont="1" applyFill="1" applyBorder="1" applyAlignment="1">
      <alignment horizontal="center"/>
    </xf>
    <xf numFmtId="167" fontId="0" fillId="2" borderId="18" xfId="0" applyFill="1" applyBorder="1" applyAlignment="1">
      <alignment horizontal="center"/>
    </xf>
    <xf numFmtId="167" fontId="12" fillId="2" borderId="0" xfId="0" applyFont="1" applyFill="1" applyBorder="1"/>
    <xf numFmtId="167" fontId="37" fillId="2" borderId="18" xfId="0" applyFont="1" applyFill="1" applyBorder="1" applyAlignment="1">
      <alignment horizontal="left"/>
    </xf>
    <xf numFmtId="167" fontId="0" fillId="2" borderId="18" xfId="0" applyFill="1" applyBorder="1"/>
    <xf numFmtId="2" fontId="0" fillId="2" borderId="0" xfId="0" applyNumberFormat="1" applyFont="1" applyFill="1" applyBorder="1"/>
    <xf numFmtId="167" fontId="0" fillId="2" borderId="19" xfId="0" applyFill="1" applyBorder="1"/>
    <xf numFmtId="167" fontId="0" fillId="2" borderId="17" xfId="0" applyFont="1" applyFill="1" applyBorder="1"/>
    <xf numFmtId="167" fontId="3" fillId="2" borderId="17" xfId="0" applyFont="1" applyFill="1" applyBorder="1"/>
    <xf numFmtId="167" fontId="0" fillId="9" borderId="0" xfId="0" applyFill="1" applyBorder="1"/>
    <xf numFmtId="167" fontId="0" fillId="9" borderId="0" xfId="0" applyFont="1" applyFill="1" applyBorder="1"/>
    <xf numFmtId="2" fontId="33" fillId="8" borderId="0" xfId="0" applyNumberFormat="1" applyFont="1" applyFill="1" applyBorder="1" applyAlignment="1">
      <alignment horizontal="center"/>
    </xf>
    <xf numFmtId="167" fontId="38" fillId="0" borderId="0" xfId="0" applyFont="1" applyFill="1" applyBorder="1" applyAlignment="1">
      <alignment horizontal="right"/>
    </xf>
    <xf numFmtId="167" fontId="0" fillId="2" borderId="4" xfId="0" applyFont="1" applyFill="1" applyBorder="1"/>
    <xf numFmtId="167" fontId="0" fillId="2" borderId="20" xfId="0" applyFont="1" applyFill="1" applyBorder="1"/>
    <xf numFmtId="167" fontId="38" fillId="0" borderId="0" xfId="0" applyFont="1" applyBorder="1" applyAlignment="1">
      <alignment horizontal="right"/>
    </xf>
    <xf numFmtId="16" fontId="33" fillId="0" borderId="0" xfId="0" applyNumberFormat="1" applyFont="1" applyBorder="1" applyAlignment="1">
      <alignment horizontal="right"/>
    </xf>
    <xf numFmtId="167" fontId="0" fillId="2" borderId="0" xfId="0" applyFont="1" applyFill="1" applyBorder="1"/>
    <xf numFmtId="2" fontId="29" fillId="0" borderId="0" xfId="0" applyNumberFormat="1" applyFont="1" applyBorder="1" applyAlignment="1">
      <alignment horizontal="left"/>
    </xf>
    <xf numFmtId="167" fontId="0" fillId="0" borderId="18" xfId="0" applyFont="1" applyBorder="1" applyAlignment="1">
      <alignment horizontal="right"/>
    </xf>
    <xf numFmtId="167" fontId="0" fillId="0" borderId="19" xfId="0" applyFont="1" applyBorder="1" applyAlignment="1">
      <alignment horizontal="right"/>
    </xf>
    <xf numFmtId="167" fontId="0" fillId="0" borderId="0" xfId="0" applyFont="1" applyBorder="1" applyAlignment="1">
      <alignment horizontal="right"/>
    </xf>
    <xf numFmtId="2" fontId="0" fillId="8" borderId="18" xfId="0" applyNumberFormat="1" applyFont="1" applyFill="1" applyBorder="1" applyAlignment="1">
      <alignment horizontal="left"/>
    </xf>
    <xf numFmtId="167" fontId="0" fillId="8" borderId="19" xfId="0" applyFont="1" applyFill="1" applyBorder="1" applyAlignment="1">
      <alignment horizontal="left"/>
    </xf>
    <xf numFmtId="2" fontId="0" fillId="8" borderId="18" xfId="0" applyNumberFormat="1" applyFont="1" applyFill="1" applyBorder="1" applyAlignment="1">
      <alignment horizontal="right"/>
    </xf>
    <xf numFmtId="2" fontId="0" fillId="8" borderId="19" xfId="0" applyNumberFormat="1" applyFont="1" applyFill="1" applyBorder="1" applyAlignment="1">
      <alignment horizontal="right"/>
    </xf>
    <xf numFmtId="2" fontId="0" fillId="0" borderId="0" xfId="0" applyNumberFormat="1" applyFont="1" applyBorder="1" applyAlignment="1">
      <alignment horizontal="right"/>
    </xf>
    <xf numFmtId="2" fontId="0" fillId="0" borderId="0" xfId="0" applyNumberFormat="1" applyFon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49" fontId="0" fillId="0" borderId="17" xfId="0" applyNumberFormat="1" applyFont="1" applyFill="1" applyBorder="1" applyAlignment="1">
      <alignment horizontal="left"/>
    </xf>
    <xf numFmtId="49" fontId="29" fillId="0" borderId="0" xfId="0" applyNumberFormat="1" applyFont="1" applyFill="1" applyBorder="1" applyAlignment="1">
      <alignment horizontal="left"/>
    </xf>
    <xf numFmtId="49" fontId="0" fillId="8" borderId="0" xfId="0" applyNumberFormat="1" applyFont="1" applyFill="1" applyBorder="1" applyAlignment="1">
      <alignment horizontal="center"/>
    </xf>
    <xf numFmtId="167" fontId="20" fillId="8" borderId="0" xfId="0" applyFont="1" applyFill="1" applyBorder="1"/>
    <xf numFmtId="2" fontId="39" fillId="0" borderId="0" xfId="0" applyNumberFormat="1" applyFont="1" applyBorder="1" applyAlignment="1">
      <alignment horizontal="center"/>
    </xf>
    <xf numFmtId="2" fontId="39" fillId="0" borderId="0" xfId="0" applyNumberFormat="1" applyFont="1" applyFill="1" applyBorder="1" applyAlignment="1">
      <alignment horizontal="center"/>
    </xf>
    <xf numFmtId="2" fontId="39" fillId="0" borderId="17" xfId="0" applyNumberFormat="1" applyFont="1" applyBorder="1" applyAlignment="1">
      <alignment horizontal="center"/>
    </xf>
    <xf numFmtId="2" fontId="39" fillId="0" borderId="17" xfId="0" applyNumberFormat="1" applyFont="1" applyFill="1" applyBorder="1" applyAlignment="1">
      <alignment horizontal="center"/>
    </xf>
    <xf numFmtId="2" fontId="40" fillId="0" borderId="0" xfId="0" applyNumberFormat="1" applyFont="1" applyFill="1" applyBorder="1" applyAlignment="1">
      <alignment horizontal="center"/>
    </xf>
    <xf numFmtId="2" fontId="41" fillId="0" borderId="2" xfId="0" applyNumberFormat="1" applyFont="1" applyFill="1" applyBorder="1" applyAlignment="1">
      <alignment horizontal="center" wrapText="1"/>
    </xf>
    <xf numFmtId="2" fontId="42" fillId="10" borderId="4" xfId="0" applyNumberFormat="1" applyFont="1" applyFill="1" applyBorder="1" applyAlignment="1">
      <alignment horizontal="center" wrapText="1"/>
    </xf>
    <xf numFmtId="2" fontId="42" fillId="10" borderId="49" xfId="0" applyNumberFormat="1" applyFont="1" applyFill="1" applyBorder="1" applyAlignment="1">
      <alignment horizontal="center" wrapText="1"/>
    </xf>
    <xf numFmtId="2" fontId="42" fillId="10" borderId="50" xfId="0" applyNumberFormat="1" applyFont="1" applyFill="1" applyBorder="1" applyAlignment="1">
      <alignment horizontal="center" wrapText="1"/>
    </xf>
    <xf numFmtId="49" fontId="44" fillId="0" borderId="0" xfId="0" applyNumberFormat="1" applyFont="1" applyFill="1" applyBorder="1" applyAlignment="1">
      <alignment horizontal="left"/>
    </xf>
    <xf numFmtId="49" fontId="44" fillId="0" borderId="17" xfId="0" applyNumberFormat="1" applyFont="1" applyFill="1" applyBorder="1" applyAlignment="1">
      <alignment horizontal="left"/>
    </xf>
    <xf numFmtId="49" fontId="45" fillId="0" borderId="0" xfId="0" applyNumberFormat="1" applyFont="1" applyFill="1" applyBorder="1" applyAlignment="1">
      <alignment horizontal="left"/>
    </xf>
    <xf numFmtId="49" fontId="41" fillId="0" borderId="21" xfId="0" applyNumberFormat="1" applyFont="1" applyFill="1" applyBorder="1" applyAlignment="1">
      <alignment horizontal="left"/>
    </xf>
    <xf numFmtId="167" fontId="0" fillId="0" borderId="23" xfId="0" applyFont="1" applyBorder="1"/>
    <xf numFmtId="167" fontId="0" fillId="0" borderId="24" xfId="0" applyFont="1" applyBorder="1"/>
    <xf numFmtId="167" fontId="0" fillId="0" borderId="25" xfId="0" applyFont="1" applyBorder="1" applyAlignment="1">
      <alignment horizontal="center"/>
    </xf>
    <xf numFmtId="2" fontId="0" fillId="0" borderId="23" xfId="0" applyNumberFormat="1" applyFont="1" applyFill="1" applyBorder="1" applyAlignment="1">
      <alignment horizontal="center"/>
    </xf>
    <xf numFmtId="4" fontId="33" fillId="0" borderId="23" xfId="0" applyNumberFormat="1" applyFont="1" applyFill="1" applyBorder="1" applyAlignment="1">
      <alignment horizontal="center"/>
    </xf>
    <xf numFmtId="167" fontId="48" fillId="0" borderId="25" xfId="0" applyNumberFormat="1" applyFont="1" applyFill="1" applyBorder="1" applyAlignment="1">
      <alignment horizontal="center"/>
    </xf>
    <xf numFmtId="167" fontId="0" fillId="0" borderId="26" xfId="0" applyFont="1" applyBorder="1"/>
    <xf numFmtId="4" fontId="34" fillId="0" borderId="0" xfId="0" applyNumberFormat="1" applyFont="1" applyFill="1" applyBorder="1" applyAlignment="1">
      <alignment horizontal="center"/>
    </xf>
    <xf numFmtId="167" fontId="49" fillId="0" borderId="27" xfId="0" applyFont="1" applyBorder="1" applyAlignment="1">
      <alignment horizontal="center"/>
    </xf>
    <xf numFmtId="167" fontId="0" fillId="0" borderId="28" xfId="0" applyFont="1" applyBorder="1" applyAlignment="1">
      <alignment horizontal="center"/>
    </xf>
    <xf numFmtId="167" fontId="0" fillId="0" borderId="29" xfId="0" applyFont="1" applyBorder="1"/>
    <xf numFmtId="165" fontId="0" fillId="0" borderId="27" xfId="0" applyNumberFormat="1" applyFont="1" applyFill="1" applyBorder="1" applyAlignment="1">
      <alignment horizontal="center"/>
    </xf>
    <xf numFmtId="4" fontId="33" fillId="0" borderId="24" xfId="0" applyNumberFormat="1" applyFont="1" applyFill="1" applyBorder="1" applyAlignment="1">
      <alignment horizontal="center"/>
    </xf>
    <xf numFmtId="167" fontId="0" fillId="0" borderId="30" xfId="0" applyFont="1" applyBorder="1" applyAlignment="1">
      <alignment horizontal="center"/>
    </xf>
    <xf numFmtId="167" fontId="0" fillId="6" borderId="12" xfId="0" applyFont="1" applyFill="1" applyBorder="1" applyAlignment="1">
      <alignment horizontal="center"/>
    </xf>
    <xf numFmtId="2" fontId="0" fillId="0" borderId="31" xfId="0" applyNumberFormat="1" applyFont="1" applyBorder="1" applyAlignment="1">
      <alignment horizontal="center"/>
    </xf>
    <xf numFmtId="2" fontId="0" fillId="6" borderId="31" xfId="0" applyNumberFormat="1" applyFont="1" applyFill="1" applyBorder="1" applyAlignment="1">
      <alignment horizontal="center"/>
    </xf>
    <xf numFmtId="167" fontId="50" fillId="6" borderId="31" xfId="0" applyFont="1" applyFill="1" applyBorder="1" applyAlignment="1">
      <alignment horizontal="center" vertical="center"/>
    </xf>
    <xf numFmtId="2" fontId="50" fillId="0" borderId="31" xfId="0" applyNumberFormat="1" applyFont="1" applyBorder="1" applyAlignment="1">
      <alignment horizontal="center" vertical="center"/>
    </xf>
    <xf numFmtId="2" fontId="51" fillId="0" borderId="31" xfId="0" applyNumberFormat="1" applyFont="1" applyBorder="1" applyAlignment="1">
      <alignment horizontal="center" vertical="center"/>
    </xf>
    <xf numFmtId="166" fontId="51" fillId="0" borderId="9" xfId="0" applyNumberFormat="1" applyFont="1" applyBorder="1" applyAlignment="1">
      <alignment horizontal="center" vertical="center"/>
    </xf>
    <xf numFmtId="167" fontId="0" fillId="0" borderId="24" xfId="0" applyFont="1" applyBorder="1" applyAlignment="1">
      <alignment horizontal="center"/>
    </xf>
    <xf numFmtId="166" fontId="0" fillId="11" borderId="26" xfId="0" applyNumberFormat="1" applyFont="1" applyFill="1" applyBorder="1" applyAlignment="1">
      <alignment horizontal="center"/>
    </xf>
    <xf numFmtId="2" fontId="0" fillId="6" borderId="24" xfId="0" applyNumberFormat="1" applyFont="1" applyFill="1" applyBorder="1" applyAlignment="1">
      <alignment horizontal="center"/>
    </xf>
    <xf numFmtId="2" fontId="0" fillId="6" borderId="26" xfId="0" applyNumberFormat="1" applyFont="1" applyFill="1" applyBorder="1" applyAlignment="1">
      <alignment horizontal="center"/>
    </xf>
    <xf numFmtId="167" fontId="0" fillId="0" borderId="30" xfId="0" applyFont="1" applyBorder="1"/>
    <xf numFmtId="167" fontId="0" fillId="0" borderId="9" xfId="0" applyFont="1" applyBorder="1"/>
    <xf numFmtId="167" fontId="0" fillId="0" borderId="9" xfId="0" applyFont="1" applyFill="1" applyBorder="1"/>
    <xf numFmtId="167" fontId="33" fillId="9" borderId="30" xfId="0" applyNumberFormat="1" applyFont="1" applyFill="1" applyBorder="1" applyAlignment="1">
      <alignment horizontal="center"/>
    </xf>
    <xf numFmtId="4" fontId="33" fillId="9" borderId="24" xfId="0" applyNumberFormat="1" applyFont="1" applyFill="1" applyBorder="1" applyAlignment="1">
      <alignment horizontal="center"/>
    </xf>
    <xf numFmtId="2" fontId="52" fillId="11" borderId="9" xfId="0" applyNumberFormat="1" applyFont="1" applyFill="1" applyBorder="1" applyAlignment="1">
      <alignment horizontal="center"/>
    </xf>
    <xf numFmtId="2" fontId="37" fillId="11" borderId="26" xfId="0" applyNumberFormat="1" applyFont="1" applyFill="1" applyBorder="1" applyAlignment="1">
      <alignment horizontal="center" vertical="center"/>
    </xf>
    <xf numFmtId="2" fontId="33" fillId="6" borderId="12" xfId="0" applyNumberFormat="1" applyFont="1" applyFill="1" applyBorder="1" applyAlignment="1">
      <alignment horizontal="center"/>
    </xf>
    <xf numFmtId="2" fontId="0" fillId="8" borderId="0" xfId="0" applyNumberFormat="1" applyFont="1" applyFill="1" applyBorder="1"/>
    <xf numFmtId="2" fontId="20" fillId="8" borderId="0" xfId="0" applyNumberFormat="1" applyFont="1" applyFill="1" applyBorder="1"/>
    <xf numFmtId="2" fontId="0" fillId="8" borderId="0" xfId="0" applyNumberFormat="1" applyFont="1" applyFill="1" applyBorder="1" applyAlignment="1">
      <alignment horizontal="left"/>
    </xf>
    <xf numFmtId="2" fontId="13" fillId="8" borderId="0" xfId="0" applyNumberFormat="1" applyFont="1" applyFill="1" applyBorder="1" applyAlignment="1">
      <alignment horizontal="center"/>
    </xf>
    <xf numFmtId="2" fontId="30" fillId="8" borderId="0" xfId="0" applyNumberFormat="1" applyFont="1" applyFill="1" applyBorder="1" applyAlignment="1">
      <alignment horizontal="center"/>
    </xf>
    <xf numFmtId="2" fontId="33" fillId="8" borderId="0" xfId="0" applyNumberFormat="1" applyFont="1" applyFill="1" applyBorder="1"/>
    <xf numFmtId="2" fontId="38" fillId="8" borderId="0" xfId="0" applyNumberFormat="1" applyFont="1" applyFill="1" applyBorder="1" applyAlignment="1">
      <alignment horizontal="right"/>
    </xf>
    <xf numFmtId="167" fontId="14" fillId="0" borderId="0" xfId="0" applyFont="1" applyBorder="1"/>
    <xf numFmtId="2" fontId="29" fillId="8" borderId="0" xfId="0" applyNumberFormat="1" applyFont="1" applyFill="1" applyBorder="1" applyAlignment="1">
      <alignment horizontal="center"/>
    </xf>
    <xf numFmtId="2" fontId="53" fillId="8" borderId="0" xfId="0" applyNumberFormat="1" applyFont="1" applyFill="1" applyBorder="1" applyAlignment="1">
      <alignment horizontal="center"/>
    </xf>
    <xf numFmtId="49" fontId="29" fillId="8" borderId="0" xfId="0" applyNumberFormat="1" applyFont="1" applyFill="1" applyBorder="1" applyAlignment="1">
      <alignment horizontal="center"/>
    </xf>
    <xf numFmtId="49" fontId="45" fillId="8" borderId="0" xfId="0" applyNumberFormat="1" applyFont="1" applyFill="1" applyBorder="1" applyAlignment="1">
      <alignment horizontal="left"/>
    </xf>
    <xf numFmtId="2" fontId="40" fillId="8" borderId="0" xfId="0" applyNumberFormat="1" applyFont="1" applyFill="1" applyBorder="1" applyAlignment="1">
      <alignment horizontal="center"/>
    </xf>
    <xf numFmtId="49" fontId="56" fillId="8" borderId="0" xfId="0" applyNumberFormat="1" applyFont="1" applyFill="1" applyBorder="1" applyAlignment="1">
      <alignment horizontal="left"/>
    </xf>
    <xf numFmtId="2" fontId="57" fillId="8" borderId="0" xfId="0" applyNumberFormat="1" applyFont="1" applyFill="1" applyBorder="1" applyAlignment="1">
      <alignment horizontal="center"/>
    </xf>
    <xf numFmtId="167" fontId="0" fillId="8" borderId="18" xfId="0" applyFont="1" applyFill="1" applyBorder="1"/>
    <xf numFmtId="167" fontId="0" fillId="8" borderId="4" xfId="0" applyFont="1" applyFill="1" applyBorder="1"/>
    <xf numFmtId="2" fontId="40" fillId="0" borderId="0" xfId="0" applyNumberFormat="1" applyFont="1" applyBorder="1" applyAlignment="1">
      <alignment horizontal="center"/>
    </xf>
    <xf numFmtId="2" fontId="39" fillId="8" borderId="0" xfId="0" applyNumberFormat="1" applyFont="1" applyFill="1" applyBorder="1" applyAlignment="1">
      <alignment horizontal="center"/>
    </xf>
    <xf numFmtId="2" fontId="58" fillId="8" borderId="0" xfId="0" applyNumberFormat="1" applyFont="1" applyFill="1" applyBorder="1" applyAlignment="1">
      <alignment horizontal="center"/>
    </xf>
    <xf numFmtId="2" fontId="39" fillId="8" borderId="17" xfId="0" applyNumberFormat="1" applyFont="1" applyFill="1" applyBorder="1" applyAlignment="1">
      <alignment horizontal="center"/>
    </xf>
    <xf numFmtId="14" fontId="1" fillId="8" borderId="0" xfId="0" applyNumberFormat="1" applyFont="1" applyFill="1" applyBorder="1" applyAlignment="1">
      <alignment horizontal="center"/>
    </xf>
    <xf numFmtId="167" fontId="59" fillId="8" borderId="0" xfId="0" applyFont="1" applyFill="1" applyBorder="1" applyAlignment="1">
      <alignment horizontal="center"/>
    </xf>
    <xf numFmtId="8" fontId="60" fillId="8" borderId="0" xfId="0" applyNumberFormat="1" applyFont="1" applyFill="1" applyBorder="1" applyAlignment="1">
      <alignment horizontal="center"/>
    </xf>
    <xf numFmtId="167" fontId="59" fillId="8" borderId="0" xfId="0" applyFont="1" applyFill="1" applyBorder="1"/>
    <xf numFmtId="167" fontId="11" fillId="12" borderId="52" xfId="0" applyFont="1" applyFill="1" applyBorder="1" applyAlignment="1">
      <alignment horizontal="center"/>
    </xf>
    <xf numFmtId="2" fontId="11" fillId="12" borderId="53" xfId="0" applyNumberFormat="1" applyFont="1" applyFill="1" applyBorder="1" applyAlignment="1">
      <alignment horizontal="center"/>
    </xf>
    <xf numFmtId="2" fontId="11" fillId="12" borderId="54" xfId="0" applyNumberFormat="1" applyFont="1" applyFill="1" applyBorder="1" applyAlignment="1">
      <alignment horizontal="center"/>
    </xf>
    <xf numFmtId="49" fontId="0" fillId="0" borderId="55" xfId="0" applyNumberFormat="1" applyFont="1" applyFill="1" applyBorder="1" applyAlignment="1">
      <alignment horizontal="center"/>
    </xf>
    <xf numFmtId="2" fontId="0" fillId="6" borderId="56" xfId="0" applyNumberFormat="1" applyFont="1" applyFill="1" applyBorder="1" applyAlignment="1">
      <alignment horizontal="center"/>
    </xf>
    <xf numFmtId="49" fontId="0" fillId="0" borderId="55" xfId="0" applyNumberFormat="1" applyFont="1" applyBorder="1" applyAlignment="1">
      <alignment horizontal="center"/>
    </xf>
    <xf numFmtId="49" fontId="0" fillId="0" borderId="57" xfId="0" applyNumberFormat="1" applyFont="1" applyBorder="1" applyAlignment="1">
      <alignment horizontal="center"/>
    </xf>
    <xf numFmtId="2" fontId="35" fillId="0" borderId="58" xfId="0" applyNumberFormat="1" applyFont="1" applyBorder="1" applyAlignment="1">
      <alignment horizontal="center"/>
    </xf>
    <xf numFmtId="2" fontId="35" fillId="0" borderId="59" xfId="0" applyNumberFormat="1" applyFont="1" applyBorder="1" applyAlignment="1">
      <alignment horizontal="center"/>
    </xf>
    <xf numFmtId="49" fontId="11" fillId="12" borderId="52" xfId="0" applyNumberFormat="1" applyFont="1" applyFill="1" applyBorder="1" applyAlignment="1">
      <alignment horizontal="center"/>
    </xf>
    <xf numFmtId="2" fontId="35" fillId="0" borderId="60" xfId="0" applyNumberFormat="1" applyFont="1" applyBorder="1" applyAlignment="1">
      <alignment horizontal="center"/>
    </xf>
    <xf numFmtId="2" fontId="61" fillId="12" borderId="62" xfId="0" applyNumberFormat="1" applyFont="1" applyFill="1" applyBorder="1" applyAlignment="1">
      <alignment horizontal="center"/>
    </xf>
    <xf numFmtId="2" fontId="61" fillId="12" borderId="63" xfId="0" applyNumberFormat="1" applyFont="1" applyFill="1" applyBorder="1" applyAlignment="1">
      <alignment horizontal="center"/>
    </xf>
    <xf numFmtId="49" fontId="0" fillId="0" borderId="64" xfId="0" applyNumberFormat="1" applyFont="1" applyFill="1" applyBorder="1" applyAlignment="1">
      <alignment horizontal="center"/>
    </xf>
    <xf numFmtId="2" fontId="0" fillId="6" borderId="65" xfId="0" applyNumberFormat="1" applyFont="1" applyFill="1" applyBorder="1" applyAlignment="1">
      <alignment horizontal="center"/>
    </xf>
    <xf numFmtId="2" fontId="61" fillId="8" borderId="0" xfId="0" applyNumberFormat="1" applyFont="1" applyFill="1" applyBorder="1" applyAlignment="1">
      <alignment horizontal="center"/>
    </xf>
    <xf numFmtId="167" fontId="62" fillId="0" borderId="32" xfId="0" applyFont="1" applyFill="1" applyBorder="1" applyAlignment="1">
      <alignment horizontal="center"/>
    </xf>
    <xf numFmtId="2" fontId="62" fillId="0" borderId="20" xfId="0" applyNumberFormat="1" applyFont="1" applyFill="1" applyBorder="1" applyAlignment="1">
      <alignment horizontal="center"/>
    </xf>
    <xf numFmtId="2" fontId="63" fillId="0" borderId="0" xfId="0" applyNumberFormat="1" applyFont="1" applyBorder="1"/>
    <xf numFmtId="2" fontId="63" fillId="0" borderId="0" xfId="0" applyNumberFormat="1" applyFont="1" applyBorder="1" applyAlignment="1">
      <alignment horizontal="center"/>
    </xf>
    <xf numFmtId="167" fontId="63" fillId="0" borderId="0" xfId="0" applyFont="1" applyBorder="1" applyAlignment="1">
      <alignment horizontal="center"/>
    </xf>
    <xf numFmtId="2" fontId="64" fillId="8" borderId="0" xfId="0" applyNumberFormat="1" applyFont="1" applyFill="1" applyBorder="1" applyAlignment="1">
      <alignment horizontal="center"/>
    </xf>
    <xf numFmtId="2" fontId="32" fillId="6" borderId="29" xfId="0" applyNumberFormat="1" applyFont="1" applyFill="1" applyBorder="1" applyAlignment="1">
      <alignment horizontal="center"/>
    </xf>
    <xf numFmtId="2" fontId="64" fillId="6" borderId="12" xfId="0" applyNumberFormat="1" applyFont="1" applyFill="1" applyBorder="1" applyAlignment="1">
      <alignment horizontal="center"/>
    </xf>
    <xf numFmtId="2" fontId="42" fillId="8" borderId="0" xfId="0" applyNumberFormat="1" applyFont="1" applyFill="1" applyBorder="1" applyAlignment="1">
      <alignment horizontal="center"/>
    </xf>
    <xf numFmtId="2" fontId="65" fillId="8" borderId="0" xfId="0" applyNumberFormat="1" applyFont="1" applyFill="1" applyBorder="1" applyAlignment="1">
      <alignment horizontal="center"/>
    </xf>
    <xf numFmtId="2" fontId="66" fillId="8" borderId="0" xfId="0" applyNumberFormat="1" applyFont="1" applyFill="1" applyBorder="1" applyAlignment="1">
      <alignment horizontal="center"/>
    </xf>
    <xf numFmtId="49" fontId="0" fillId="8" borderId="17" xfId="0" applyNumberFormat="1" applyFont="1" applyFill="1" applyBorder="1" applyAlignment="1">
      <alignment horizontal="center"/>
    </xf>
    <xf numFmtId="2" fontId="46" fillId="10" borderId="0" xfId="0" applyNumberFormat="1" applyFont="1" applyFill="1" applyBorder="1" applyAlignment="1">
      <alignment horizontal="left"/>
    </xf>
    <xf numFmtId="167" fontId="39" fillId="8" borderId="0" xfId="0" applyFont="1" applyFill="1" applyBorder="1" applyAlignment="1">
      <alignment horizontal="right"/>
    </xf>
    <xf numFmtId="2" fontId="39" fillId="8" borderId="0" xfId="0" applyNumberFormat="1" applyFont="1" applyFill="1" applyBorder="1" applyAlignment="1">
      <alignment horizontal="right"/>
    </xf>
    <xf numFmtId="2" fontId="40" fillId="8" borderId="0" xfId="0" applyNumberFormat="1" applyFont="1" applyFill="1" applyBorder="1" applyAlignment="1">
      <alignment horizontal="left"/>
    </xf>
    <xf numFmtId="49" fontId="39" fillId="8" borderId="0" xfId="0" applyNumberFormat="1" applyFont="1" applyFill="1" applyBorder="1" applyAlignment="1">
      <alignment horizontal="center" wrapText="1"/>
    </xf>
    <xf numFmtId="2" fontId="66" fillId="10" borderId="0" xfId="0" applyNumberFormat="1" applyFont="1" applyFill="1" applyBorder="1" applyAlignment="1">
      <alignment horizontal="right"/>
    </xf>
    <xf numFmtId="2" fontId="39" fillId="8" borderId="0" xfId="0" applyNumberFormat="1" applyFont="1" applyFill="1" applyBorder="1" applyAlignment="1">
      <alignment horizontal="center" wrapText="1"/>
    </xf>
    <xf numFmtId="4" fontId="39" fillId="8" borderId="0" xfId="0" applyNumberFormat="1" applyFont="1" applyFill="1" applyBorder="1" applyAlignment="1">
      <alignment horizontal="center" wrapText="1"/>
    </xf>
    <xf numFmtId="49" fontId="38" fillId="8" borderId="0" xfId="0" applyNumberFormat="1" applyFont="1" applyFill="1" applyBorder="1" applyAlignment="1">
      <alignment horizontal="center"/>
    </xf>
    <xf numFmtId="167" fontId="39" fillId="8" borderId="0" xfId="0" applyFont="1" applyFill="1" applyBorder="1"/>
    <xf numFmtId="2" fontId="43" fillId="10" borderId="31" xfId="0" applyNumberFormat="1" applyFont="1" applyFill="1" applyBorder="1" applyAlignment="1">
      <alignment horizontal="center"/>
    </xf>
    <xf numFmtId="2" fontId="46" fillId="10" borderId="31" xfId="0" applyNumberFormat="1" applyFont="1" applyFill="1" applyBorder="1" applyAlignment="1">
      <alignment horizontal="center" vertical="center"/>
    </xf>
    <xf numFmtId="2" fontId="67" fillId="10" borderId="31" xfId="0" applyNumberFormat="1" applyFont="1" applyFill="1" applyBorder="1" applyAlignment="1">
      <alignment horizontal="center"/>
    </xf>
    <xf numFmtId="167" fontId="68" fillId="10" borderId="27" xfId="0" applyFont="1" applyFill="1" applyBorder="1" applyAlignment="1">
      <alignment horizontal="left" vertical="center"/>
    </xf>
    <xf numFmtId="2" fontId="46" fillId="10" borderId="33" xfId="0" applyNumberFormat="1" applyFont="1" applyFill="1" applyBorder="1" applyAlignment="1">
      <alignment horizontal="left"/>
    </xf>
    <xf numFmtId="167" fontId="46" fillId="10" borderId="25" xfId="0" applyFont="1" applyFill="1" applyBorder="1" applyAlignment="1">
      <alignment horizontal="left" vertical="center"/>
    </xf>
    <xf numFmtId="49" fontId="70" fillId="10" borderId="25" xfId="0" applyNumberFormat="1" applyFont="1" applyFill="1" applyBorder="1" applyAlignment="1">
      <alignment horizontal="left"/>
    </xf>
    <xf numFmtId="2" fontId="70" fillId="10" borderId="0" xfId="0" applyNumberFormat="1" applyFont="1" applyFill="1" applyBorder="1" applyAlignment="1">
      <alignment horizontal="left"/>
    </xf>
    <xf numFmtId="2" fontId="71" fillId="10" borderId="0" xfId="0" applyNumberFormat="1" applyFont="1" applyFill="1" applyBorder="1" applyAlignment="1">
      <alignment horizontal="left"/>
    </xf>
    <xf numFmtId="167" fontId="70" fillId="10" borderId="25" xfId="0" applyFont="1" applyFill="1" applyBorder="1" applyAlignment="1">
      <alignment horizontal="left"/>
    </xf>
    <xf numFmtId="2" fontId="42" fillId="10" borderId="66" xfId="0" applyNumberFormat="1" applyFont="1" applyFill="1" applyBorder="1" applyAlignment="1">
      <alignment horizontal="center" wrapText="1"/>
    </xf>
    <xf numFmtId="2" fontId="72" fillId="6" borderId="30" xfId="0" applyNumberFormat="1" applyFont="1" applyFill="1" applyBorder="1" applyAlignment="1">
      <alignment horizontal="center"/>
    </xf>
    <xf numFmtId="167" fontId="0" fillId="0" borderId="12" xfId="0" applyFont="1" applyBorder="1"/>
    <xf numFmtId="167" fontId="11" fillId="12" borderId="12" xfId="0" applyFont="1" applyFill="1" applyBorder="1"/>
    <xf numFmtId="167" fontId="32" fillId="0" borderId="12" xfId="0" applyFont="1" applyFill="1" applyBorder="1" applyAlignment="1">
      <alignment horizontal="center"/>
    </xf>
    <xf numFmtId="2" fontId="0" fillId="0" borderId="12" xfId="0" applyNumberFormat="1" applyFont="1" applyBorder="1" applyAlignment="1">
      <alignment horizontal="center"/>
    </xf>
    <xf numFmtId="166" fontId="0" fillId="0" borderId="12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5" fillId="8" borderId="0" xfId="0" applyNumberFormat="1" applyFont="1" applyFill="1" applyBorder="1" applyAlignment="1">
      <alignment horizontal="center" vertical="center"/>
    </xf>
    <xf numFmtId="167" fontId="12" fillId="11" borderId="12" xfId="0" applyFont="1" applyFill="1" applyBorder="1" applyAlignment="1">
      <alignment horizontal="center"/>
    </xf>
    <xf numFmtId="2" fontId="16" fillId="11" borderId="12" xfId="0" applyNumberFormat="1" applyFont="1" applyFill="1" applyBorder="1" applyAlignment="1">
      <alignment horizontal="center"/>
    </xf>
    <xf numFmtId="167" fontId="14" fillId="0" borderId="30" xfId="0" applyFont="1" applyBorder="1" applyAlignment="1">
      <alignment horizontal="center" wrapText="1"/>
    </xf>
    <xf numFmtId="167" fontId="0" fillId="0" borderId="24" xfId="0" applyFont="1" applyBorder="1" applyAlignment="1">
      <alignment horizontal="center" wrapText="1"/>
    </xf>
    <xf numFmtId="2" fontId="73" fillId="11" borderId="24" xfId="0" applyNumberFormat="1" applyFont="1" applyFill="1" applyBorder="1" applyAlignment="1">
      <alignment horizontal="center"/>
    </xf>
    <xf numFmtId="2" fontId="73" fillId="11" borderId="23" xfId="0" applyNumberFormat="1" applyFont="1" applyFill="1" applyBorder="1" applyAlignment="1">
      <alignment horizontal="center"/>
    </xf>
    <xf numFmtId="2" fontId="12" fillId="11" borderId="30" xfId="0" applyNumberFormat="1" applyFont="1" applyFill="1" applyBorder="1" applyAlignment="1">
      <alignment horizontal="center"/>
    </xf>
    <xf numFmtId="167" fontId="12" fillId="11" borderId="31" xfId="0" applyFont="1" applyFill="1" applyBorder="1" applyAlignment="1">
      <alignment horizontal="center"/>
    </xf>
    <xf numFmtId="2" fontId="12" fillId="11" borderId="31" xfId="0" applyNumberFormat="1" applyFont="1" applyFill="1" applyBorder="1" applyAlignment="1">
      <alignment horizontal="center"/>
    </xf>
    <xf numFmtId="167" fontId="0" fillId="0" borderId="12" xfId="0" applyFont="1" applyFill="1" applyBorder="1"/>
    <xf numFmtId="167" fontId="51" fillId="8" borderId="0" xfId="0" applyFont="1" applyFill="1" applyBorder="1"/>
    <xf numFmtId="167" fontId="20" fillId="8" borderId="18" xfId="0" applyFont="1" applyFill="1" applyBorder="1"/>
    <xf numFmtId="167" fontId="20" fillId="8" borderId="4" xfId="0" applyFont="1" applyFill="1" applyBorder="1"/>
    <xf numFmtId="49" fontId="29" fillId="8" borderId="0" xfId="0" applyNumberFormat="1" applyFont="1" applyFill="1" applyBorder="1"/>
    <xf numFmtId="49" fontId="29" fillId="8" borderId="0" xfId="0" applyNumberFormat="1" applyFont="1" applyFill="1" applyBorder="1" applyAlignment="1">
      <alignment horizontal="left"/>
    </xf>
    <xf numFmtId="167" fontId="0" fillId="8" borderId="0" xfId="0" applyFont="1" applyFill="1" applyBorder="1" applyAlignment="1">
      <alignment horizontal="right"/>
    </xf>
    <xf numFmtId="2" fontId="0" fillId="8" borderId="0" xfId="0" applyNumberFormat="1" applyFont="1" applyFill="1" applyBorder="1" applyAlignment="1">
      <alignment horizontal="right"/>
    </xf>
    <xf numFmtId="2" fontId="29" fillId="8" borderId="0" xfId="0" applyNumberFormat="1" applyFont="1" applyFill="1" applyBorder="1" applyAlignment="1">
      <alignment horizontal="left"/>
    </xf>
    <xf numFmtId="167" fontId="0" fillId="8" borderId="36" xfId="0" applyFont="1" applyFill="1" applyBorder="1"/>
    <xf numFmtId="167" fontId="0" fillId="8" borderId="37" xfId="0" applyFont="1" applyFill="1" applyBorder="1"/>
    <xf numFmtId="167" fontId="0" fillId="8" borderId="38" xfId="0" applyFont="1" applyFill="1" applyBorder="1"/>
    <xf numFmtId="49" fontId="0" fillId="8" borderId="0" xfId="0" applyNumberFormat="1" applyFont="1" applyFill="1" applyBorder="1"/>
    <xf numFmtId="49" fontId="0" fillId="8" borderId="0" xfId="0" applyNumberFormat="1" applyFont="1" applyFill="1" applyBorder="1" applyAlignment="1">
      <alignment horizontal="left"/>
    </xf>
    <xf numFmtId="167" fontId="6" fillId="8" borderId="0" xfId="1" applyNumberFormat="1" applyFont="1" applyFill="1" applyBorder="1" applyAlignment="1" applyProtection="1">
      <alignment horizontal="center"/>
    </xf>
    <xf numFmtId="167" fontId="0" fillId="8" borderId="0" xfId="0" applyFill="1" applyBorder="1" applyAlignment="1">
      <alignment horizontal="center"/>
    </xf>
    <xf numFmtId="49" fontId="74" fillId="8" borderId="1" xfId="0" applyNumberFormat="1" applyFont="1" applyFill="1" applyBorder="1" applyAlignment="1">
      <alignment horizontal="center"/>
    </xf>
    <xf numFmtId="2" fontId="37" fillId="6" borderId="12" xfId="0" applyNumberFormat="1" applyFont="1" applyFill="1" applyBorder="1" applyAlignment="1">
      <alignment horizontal="center"/>
    </xf>
    <xf numFmtId="2" fontId="0" fillId="0" borderId="30" xfId="0" applyNumberFormat="1" applyFont="1" applyBorder="1" applyAlignment="1">
      <alignment horizontal="center"/>
    </xf>
    <xf numFmtId="167" fontId="0" fillId="0" borderId="35" xfId="0" applyFont="1" applyBorder="1" applyAlignment="1">
      <alignment horizontal="center"/>
    </xf>
    <xf numFmtId="167" fontId="30" fillId="13" borderId="27" xfId="0" applyFont="1" applyFill="1" applyBorder="1" applyAlignment="1">
      <alignment horizontal="center"/>
    </xf>
    <xf numFmtId="167" fontId="31" fillId="13" borderId="30" xfId="0" applyFont="1" applyFill="1" applyBorder="1" applyAlignment="1">
      <alignment horizontal="center"/>
    </xf>
    <xf numFmtId="167" fontId="31" fillId="13" borderId="24" xfId="0" applyFont="1" applyFill="1" applyBorder="1" applyAlignment="1">
      <alignment horizontal="center"/>
    </xf>
    <xf numFmtId="4" fontId="52" fillId="0" borderId="23" xfId="0" applyNumberFormat="1" applyFont="1" applyFill="1" applyBorder="1" applyAlignment="1">
      <alignment horizontal="center"/>
    </xf>
    <xf numFmtId="167" fontId="0" fillId="0" borderId="23" xfId="0" applyFont="1" applyFill="1" applyBorder="1"/>
    <xf numFmtId="167" fontId="14" fillId="0" borderId="30" xfId="0" applyFont="1" applyFill="1" applyBorder="1" applyAlignment="1">
      <alignment horizontal="center"/>
    </xf>
    <xf numFmtId="167" fontId="0" fillId="0" borderId="31" xfId="0" applyFont="1" applyBorder="1" applyAlignment="1">
      <alignment horizontal="center"/>
    </xf>
    <xf numFmtId="167" fontId="0" fillId="0" borderId="31" xfId="0" applyFont="1" applyFill="1" applyBorder="1" applyAlignment="1">
      <alignment horizontal="center"/>
    </xf>
    <xf numFmtId="167" fontId="33" fillId="0" borderId="31" xfId="0" applyNumberFormat="1" applyFont="1" applyFill="1" applyBorder="1" applyAlignment="1">
      <alignment horizontal="center"/>
    </xf>
    <xf numFmtId="2" fontId="52" fillId="0" borderId="31" xfId="0" applyNumberFormat="1" applyFont="1" applyFill="1" applyBorder="1" applyAlignment="1">
      <alignment horizontal="center" vertical="center"/>
    </xf>
    <xf numFmtId="4" fontId="75" fillId="0" borderId="31" xfId="0" applyNumberFormat="1" applyFont="1" applyFill="1" applyBorder="1" applyAlignment="1">
      <alignment horizontal="center"/>
    </xf>
    <xf numFmtId="167" fontId="0" fillId="13" borderId="9" xfId="0" applyFont="1" applyFill="1" applyBorder="1"/>
    <xf numFmtId="167" fontId="0" fillId="13" borderId="26" xfId="0" applyFont="1" applyFill="1" applyBorder="1"/>
    <xf numFmtId="2" fontId="0" fillId="0" borderId="31" xfId="0" applyNumberFormat="1" applyFont="1" applyFill="1" applyBorder="1" applyAlignment="1">
      <alignment horizontal="center"/>
    </xf>
    <xf numFmtId="49" fontId="29" fillId="0" borderId="0" xfId="0" applyNumberFormat="1" applyFont="1" applyFill="1" applyBorder="1" applyAlignment="1">
      <alignment horizontal="center"/>
    </xf>
    <xf numFmtId="167" fontId="0" fillId="0" borderId="31" xfId="0" applyFont="1" applyFill="1" applyBorder="1" applyAlignment="1">
      <alignment horizontal="center"/>
    </xf>
    <xf numFmtId="167" fontId="0" fillId="2" borderId="33" xfId="0" applyFont="1" applyFill="1" applyBorder="1"/>
    <xf numFmtId="4" fontId="33" fillId="0" borderId="0" xfId="0" applyNumberFormat="1" applyFont="1" applyFill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167" fontId="0" fillId="0" borderId="24" xfId="0" applyFont="1" applyBorder="1"/>
    <xf numFmtId="2" fontId="39" fillId="8" borderId="17" xfId="0" applyNumberFormat="1" applyFont="1" applyFill="1" applyBorder="1" applyAlignment="1">
      <alignment horizontal="center" wrapText="1"/>
    </xf>
    <xf numFmtId="2" fontId="66" fillId="10" borderId="34" xfId="0" applyNumberFormat="1" applyFont="1" applyFill="1" applyBorder="1" applyAlignment="1">
      <alignment horizontal="right"/>
    </xf>
    <xf numFmtId="167" fontId="77" fillId="8" borderId="67" xfId="0" applyFont="1" applyFill="1" applyBorder="1" applyAlignment="1">
      <alignment horizontal="right" vertical="center"/>
    </xf>
    <xf numFmtId="2" fontId="66" fillId="8" borderId="68" xfId="0" applyNumberFormat="1" applyFont="1" applyFill="1" applyBorder="1" applyAlignment="1">
      <alignment horizontal="right"/>
    </xf>
    <xf numFmtId="167" fontId="69" fillId="10" borderId="40" xfId="0" applyNumberFormat="1" applyFont="1" applyFill="1" applyBorder="1" applyAlignment="1">
      <alignment horizontal="center"/>
    </xf>
    <xf numFmtId="2" fontId="69" fillId="10" borderId="11" xfId="0" applyNumberFormat="1" applyFont="1" applyFill="1" applyBorder="1" applyAlignment="1">
      <alignment horizontal="center"/>
    </xf>
    <xf numFmtId="167" fontId="78" fillId="8" borderId="0" xfId="0" applyFont="1" applyFill="1" applyBorder="1" applyAlignment="1">
      <alignment horizontal="center"/>
    </xf>
    <xf numFmtId="2" fontId="79" fillId="7" borderId="30" xfId="0" applyNumberFormat="1" applyFont="1" applyFill="1" applyBorder="1" applyAlignment="1">
      <alignment horizontal="center"/>
    </xf>
    <xf numFmtId="49" fontId="14" fillId="8" borderId="0" xfId="0" applyNumberFormat="1" applyFont="1" applyFill="1" applyBorder="1" applyAlignment="1">
      <alignment horizontal="center"/>
    </xf>
    <xf numFmtId="2" fontId="39" fillId="8" borderId="23" xfId="0" applyNumberFormat="1" applyFont="1" applyFill="1" applyBorder="1" applyAlignment="1">
      <alignment horizontal="center" wrapText="1"/>
    </xf>
    <xf numFmtId="167" fontId="81" fillId="8" borderId="44" xfId="0" applyFont="1" applyFill="1" applyBorder="1" applyAlignment="1">
      <alignment horizontal="center"/>
    </xf>
    <xf numFmtId="167" fontId="81" fillId="8" borderId="1" xfId="0" applyFont="1" applyFill="1" applyBorder="1" applyAlignment="1">
      <alignment horizontal="center"/>
    </xf>
    <xf numFmtId="2" fontId="81" fillId="8" borderId="1" xfId="0" applyNumberFormat="1" applyFont="1" applyFill="1" applyBorder="1" applyAlignment="1">
      <alignment horizontal="center"/>
    </xf>
    <xf numFmtId="14" fontId="81" fillId="8" borderId="44" xfId="0" applyNumberFormat="1" applyFont="1" applyFill="1" applyBorder="1" applyAlignment="1">
      <alignment horizontal="center"/>
    </xf>
    <xf numFmtId="2" fontId="81" fillId="8" borderId="42" xfId="0" applyNumberFormat="1" applyFont="1" applyFill="1" applyBorder="1" applyAlignment="1">
      <alignment horizontal="center"/>
    </xf>
    <xf numFmtId="2" fontId="81" fillId="8" borderId="43" xfId="0" applyNumberFormat="1" applyFont="1" applyFill="1" applyBorder="1" applyAlignment="1">
      <alignment horizontal="center"/>
    </xf>
    <xf numFmtId="167" fontId="81" fillId="8" borderId="43" xfId="0" applyFont="1" applyFill="1" applyBorder="1" applyAlignment="1">
      <alignment horizontal="center"/>
    </xf>
    <xf numFmtId="2" fontId="81" fillId="8" borderId="41" xfId="0" applyNumberFormat="1" applyFont="1" applyFill="1" applyBorder="1" applyAlignment="1">
      <alignment horizontal="center"/>
    </xf>
    <xf numFmtId="167" fontId="81" fillId="8" borderId="41" xfId="0" applyFont="1" applyFill="1" applyBorder="1" applyAlignment="1">
      <alignment horizontal="center"/>
    </xf>
    <xf numFmtId="2" fontId="81" fillId="8" borderId="40" xfId="0" applyNumberFormat="1" applyFont="1" applyFill="1" applyBorder="1" applyAlignment="1">
      <alignment horizontal="center"/>
    </xf>
    <xf numFmtId="2" fontId="81" fillId="8" borderId="45" xfId="0" applyNumberFormat="1" applyFont="1" applyFill="1" applyBorder="1" applyAlignment="1">
      <alignment horizontal="center"/>
    </xf>
    <xf numFmtId="167" fontId="81" fillId="8" borderId="46" xfId="0" applyFont="1" applyFill="1" applyBorder="1" applyAlignment="1">
      <alignment horizontal="center"/>
    </xf>
    <xf numFmtId="2" fontId="81" fillId="8" borderId="46" xfId="0" applyNumberFormat="1" applyFont="1" applyFill="1" applyBorder="1" applyAlignment="1">
      <alignment horizontal="center"/>
    </xf>
    <xf numFmtId="167" fontId="81" fillId="8" borderId="23" xfId="0" applyFont="1" applyFill="1" applyBorder="1" applyAlignment="1">
      <alignment horizontal="center"/>
    </xf>
    <xf numFmtId="2" fontId="81" fillId="8" borderId="21" xfId="0" applyNumberFormat="1" applyFont="1" applyFill="1" applyBorder="1" applyAlignment="1">
      <alignment horizontal="center"/>
    </xf>
    <xf numFmtId="167" fontId="81" fillId="8" borderId="2" xfId="0" applyFont="1" applyFill="1" applyBorder="1" applyAlignment="1">
      <alignment horizontal="center"/>
    </xf>
    <xf numFmtId="14" fontId="81" fillId="8" borderId="1" xfId="0" applyNumberFormat="1" applyFont="1" applyFill="1" applyBorder="1" applyAlignment="1">
      <alignment horizontal="center"/>
    </xf>
    <xf numFmtId="2" fontId="66" fillId="14" borderId="12" xfId="0" applyNumberFormat="1" applyFont="1" applyFill="1" applyBorder="1" applyAlignment="1">
      <alignment horizontal="center"/>
    </xf>
    <xf numFmtId="167" fontId="84" fillId="3" borderId="12" xfId="0" applyNumberFormat="1" applyFont="1" applyFill="1" applyBorder="1" applyAlignment="1">
      <alignment horizontal="center"/>
    </xf>
    <xf numFmtId="2" fontId="84" fillId="3" borderId="13" xfId="0" applyNumberFormat="1" applyFont="1" applyFill="1" applyBorder="1" applyAlignment="1">
      <alignment horizontal="left"/>
    </xf>
    <xf numFmtId="167" fontId="39" fillId="3" borderId="12" xfId="0" applyFont="1" applyFill="1" applyBorder="1" applyAlignment="1">
      <alignment horizontal="center"/>
    </xf>
    <xf numFmtId="2" fontId="2" fillId="3" borderId="13" xfId="0" applyNumberFormat="1" applyFont="1" applyFill="1" applyBorder="1" applyAlignment="1">
      <alignment horizontal="left"/>
    </xf>
    <xf numFmtId="49" fontId="2" fillId="3" borderId="12" xfId="0" applyNumberFormat="1" applyFont="1" applyFill="1" applyBorder="1" applyAlignment="1">
      <alignment horizontal="center"/>
    </xf>
    <xf numFmtId="49" fontId="2" fillId="3" borderId="15" xfId="0" applyNumberFormat="1" applyFont="1" applyFill="1" applyBorder="1" applyAlignment="1">
      <alignment horizontal="center"/>
    </xf>
    <xf numFmtId="2" fontId="2" fillId="3" borderId="16" xfId="0" applyNumberFormat="1" applyFont="1" applyFill="1" applyBorder="1" applyAlignment="1">
      <alignment horizontal="left"/>
    </xf>
    <xf numFmtId="2" fontId="42" fillId="5" borderId="4" xfId="0" applyNumberFormat="1" applyFont="1" applyFill="1" applyBorder="1" applyAlignment="1">
      <alignment horizontal="center" wrapText="1"/>
    </xf>
    <xf numFmtId="2" fontId="42" fillId="5" borderId="71" xfId="0" applyNumberFormat="1" applyFont="1" applyFill="1" applyBorder="1" applyAlignment="1">
      <alignment horizontal="center" wrapText="1"/>
    </xf>
    <xf numFmtId="167" fontId="0" fillId="15" borderId="33" xfId="0" applyFont="1" applyFill="1" applyBorder="1"/>
    <xf numFmtId="49" fontId="77" fillId="10" borderId="12" xfId="0" applyNumberFormat="1" applyFont="1" applyFill="1" applyBorder="1" applyAlignment="1">
      <alignment horizontal="left" wrapText="1" readingOrder="1"/>
    </xf>
    <xf numFmtId="167" fontId="12" fillId="0" borderId="28" xfId="0" applyFont="1" applyBorder="1"/>
    <xf numFmtId="2" fontId="0" fillId="0" borderId="29" xfId="0" applyNumberFormat="1" applyFont="1" applyBorder="1" applyProtection="1">
      <protection locked="0"/>
    </xf>
    <xf numFmtId="49" fontId="77" fillId="10" borderId="12" xfId="0" applyNumberFormat="1" applyFont="1" applyFill="1" applyBorder="1" applyAlignment="1"/>
    <xf numFmtId="167" fontId="12" fillId="0" borderId="28" xfId="0" applyFont="1" applyFill="1" applyBorder="1"/>
    <xf numFmtId="167" fontId="0" fillId="0" borderId="29" xfId="0" applyFont="1" applyBorder="1" applyProtection="1">
      <protection locked="0"/>
    </xf>
    <xf numFmtId="167" fontId="0" fillId="0" borderId="23" xfId="0" applyFont="1" applyBorder="1" applyProtection="1">
      <protection locked="0"/>
    </xf>
    <xf numFmtId="2" fontId="0" fillId="0" borderId="0" xfId="0" applyNumberFormat="1" applyFont="1" applyBorder="1" applyProtection="1">
      <protection locked="0"/>
    </xf>
    <xf numFmtId="167" fontId="0" fillId="0" borderId="0" xfId="0" applyFont="1" applyBorder="1" applyProtection="1">
      <protection locked="0"/>
    </xf>
    <xf numFmtId="167" fontId="0" fillId="0" borderId="0" xfId="0" applyBorder="1" applyProtection="1">
      <protection locked="0"/>
    </xf>
    <xf numFmtId="2" fontId="0" fillId="16" borderId="12" xfId="0" applyNumberFormat="1" applyFont="1" applyFill="1" applyBorder="1" applyProtection="1">
      <protection locked="0"/>
    </xf>
    <xf numFmtId="2" fontId="0" fillId="16" borderId="12" xfId="0" applyNumberFormat="1" applyFill="1" applyBorder="1" applyProtection="1">
      <protection locked="0"/>
    </xf>
    <xf numFmtId="167" fontId="0" fillId="16" borderId="12" xfId="0" applyFill="1" applyBorder="1" applyProtection="1">
      <protection locked="0"/>
    </xf>
    <xf numFmtId="2" fontId="0" fillId="17" borderId="12" xfId="0" applyNumberFormat="1" applyFont="1" applyFill="1" applyBorder="1" applyProtection="1">
      <protection locked="0"/>
    </xf>
    <xf numFmtId="2" fontId="0" fillId="17" borderId="12" xfId="0" applyNumberFormat="1" applyFill="1" applyBorder="1" applyProtection="1">
      <protection locked="0"/>
    </xf>
    <xf numFmtId="167" fontId="0" fillId="17" borderId="12" xfId="0" applyFill="1" applyBorder="1" applyProtection="1">
      <protection locked="0"/>
    </xf>
    <xf numFmtId="167" fontId="0" fillId="15" borderId="29" xfId="0" applyFont="1" applyFill="1" applyBorder="1"/>
    <xf numFmtId="167" fontId="0" fillId="17" borderId="33" xfId="0" applyFont="1" applyFill="1" applyBorder="1"/>
    <xf numFmtId="167" fontId="0" fillId="17" borderId="29" xfId="0" applyFont="1" applyFill="1" applyBorder="1"/>
    <xf numFmtId="2" fontId="0" fillId="0" borderId="47" xfId="0" applyNumberFormat="1" applyFont="1" applyBorder="1" applyProtection="1">
      <protection locked="0"/>
    </xf>
    <xf numFmtId="49" fontId="77" fillId="10" borderId="30" xfId="0" applyNumberFormat="1" applyFont="1" applyFill="1" applyBorder="1" applyAlignment="1">
      <alignment horizontal="left" wrapText="1" readingOrder="1"/>
    </xf>
    <xf numFmtId="167" fontId="0" fillId="16" borderId="30" xfId="0" applyFill="1" applyBorder="1" applyProtection="1">
      <protection locked="0"/>
    </xf>
    <xf numFmtId="167" fontId="0" fillId="17" borderId="30" xfId="0" applyFill="1" applyBorder="1" applyProtection="1">
      <protection locked="0"/>
    </xf>
    <xf numFmtId="49" fontId="42" fillId="5" borderId="12" xfId="0" applyNumberFormat="1" applyFont="1" applyFill="1" applyBorder="1" applyAlignment="1">
      <alignment horizontal="left"/>
    </xf>
    <xf numFmtId="49" fontId="42" fillId="5" borderId="12" xfId="0" applyNumberFormat="1" applyFont="1" applyFill="1" applyBorder="1" applyAlignment="1">
      <alignment horizontal="left" wrapText="1"/>
    </xf>
    <xf numFmtId="2" fontId="69" fillId="10" borderId="0" xfId="0" applyNumberFormat="1" applyFont="1" applyFill="1" applyBorder="1" applyAlignment="1">
      <alignment horizontal="center"/>
    </xf>
    <xf numFmtId="2" fontId="42" fillId="10" borderId="0" xfId="0" applyNumberFormat="1" applyFont="1" applyFill="1" applyBorder="1" applyAlignment="1">
      <alignment horizontal="center"/>
    </xf>
    <xf numFmtId="167" fontId="0" fillId="18" borderId="0" xfId="0" applyFont="1" applyFill="1" applyBorder="1"/>
    <xf numFmtId="167" fontId="0" fillId="19" borderId="33" xfId="0" applyFont="1" applyFill="1" applyBorder="1" applyProtection="1">
      <protection locked="0"/>
    </xf>
    <xf numFmtId="167" fontId="0" fillId="19" borderId="33" xfId="0" applyFont="1" applyFill="1" applyBorder="1"/>
    <xf numFmtId="49" fontId="42" fillId="5" borderId="9" xfId="0" applyNumberFormat="1" applyFont="1" applyFill="1" applyBorder="1" applyAlignment="1">
      <alignment horizontal="left"/>
    </xf>
    <xf numFmtId="2" fontId="0" fillId="16" borderId="9" xfId="0" applyNumberFormat="1" applyFont="1" applyFill="1" applyBorder="1" applyProtection="1">
      <protection locked="0"/>
    </xf>
    <xf numFmtId="2" fontId="0" fillId="17" borderId="9" xfId="0" applyNumberFormat="1" applyFont="1" applyFill="1" applyBorder="1" applyProtection="1">
      <protection locked="0"/>
    </xf>
    <xf numFmtId="49" fontId="42" fillId="5" borderId="9" xfId="0" applyNumberFormat="1" applyFont="1" applyFill="1" applyBorder="1" applyAlignment="1">
      <alignment horizontal="left" wrapText="1"/>
    </xf>
    <xf numFmtId="167" fontId="12" fillId="0" borderId="35" xfId="0" applyFont="1" applyBorder="1"/>
    <xf numFmtId="2" fontId="0" fillId="0" borderId="34" xfId="0" applyNumberFormat="1" applyFont="1" applyBorder="1" applyProtection="1">
      <protection locked="0"/>
    </xf>
    <xf numFmtId="49" fontId="42" fillId="5" borderId="30" xfId="0" applyNumberFormat="1" applyFont="1" applyFill="1" applyBorder="1" applyAlignment="1">
      <alignment horizontal="left"/>
    </xf>
    <xf numFmtId="167" fontId="0" fillId="18" borderId="33" xfId="0" applyFont="1" applyFill="1" applyBorder="1"/>
    <xf numFmtId="167" fontId="0" fillId="18" borderId="23" xfId="0" applyFont="1" applyFill="1" applyBorder="1"/>
    <xf numFmtId="167" fontId="12" fillId="19" borderId="33" xfId="0" applyFont="1" applyFill="1" applyBorder="1"/>
    <xf numFmtId="167" fontId="0" fillId="19" borderId="29" xfId="0" applyFont="1" applyFill="1" applyBorder="1" applyProtection="1">
      <protection locked="0"/>
    </xf>
    <xf numFmtId="2" fontId="0" fillId="16" borderId="9" xfId="0" applyNumberFormat="1" applyFill="1" applyBorder="1" applyProtection="1">
      <protection locked="0"/>
    </xf>
    <xf numFmtId="2" fontId="0" fillId="17" borderId="9" xfId="0" applyNumberFormat="1" applyFill="1" applyBorder="1" applyProtection="1">
      <protection locked="0"/>
    </xf>
    <xf numFmtId="49" fontId="85" fillId="10" borderId="28" xfId="0" applyNumberFormat="1" applyFont="1" applyFill="1" applyBorder="1" applyAlignment="1">
      <alignment horizontal="center"/>
    </xf>
    <xf numFmtId="49" fontId="82" fillId="8" borderId="10" xfId="0" applyNumberFormat="1" applyFont="1" applyFill="1" applyBorder="1"/>
    <xf numFmtId="2" fontId="39" fillId="6" borderId="3" xfId="0" applyNumberFormat="1" applyFont="1" applyFill="1" applyBorder="1" applyAlignment="1">
      <alignment horizontal="center"/>
    </xf>
    <xf numFmtId="167" fontId="33" fillId="9" borderId="12" xfId="0" applyNumberFormat="1" applyFont="1" applyFill="1" applyBorder="1" applyAlignment="1">
      <alignment horizontal="center"/>
    </xf>
    <xf numFmtId="4" fontId="33" fillId="9" borderId="12" xfId="0" applyNumberFormat="1" applyFont="1" applyFill="1" applyBorder="1" applyAlignment="1">
      <alignment horizontal="center"/>
    </xf>
    <xf numFmtId="2" fontId="37" fillId="0" borderId="12" xfId="0" applyNumberFormat="1" applyFont="1" applyFill="1" applyBorder="1" applyAlignment="1">
      <alignment horizontal="center"/>
    </xf>
    <xf numFmtId="2" fontId="86" fillId="5" borderId="41" xfId="0" applyNumberFormat="1" applyFont="1" applyFill="1" applyBorder="1" applyAlignment="1">
      <alignment horizontal="center"/>
    </xf>
    <xf numFmtId="167" fontId="46" fillId="20" borderId="44" xfId="0" applyFont="1" applyFill="1" applyBorder="1" applyAlignment="1">
      <alignment horizontal="center"/>
    </xf>
    <xf numFmtId="168" fontId="46" fillId="20" borderId="36" xfId="0" applyNumberFormat="1" applyFont="1" applyFill="1" applyBorder="1" applyAlignment="1">
      <alignment horizontal="center" vertical="center"/>
    </xf>
    <xf numFmtId="168" fontId="46" fillId="20" borderId="38" xfId="0" applyNumberFormat="1" applyFont="1" applyFill="1" applyBorder="1" applyAlignment="1">
      <alignment horizontal="center"/>
    </xf>
    <xf numFmtId="167" fontId="46" fillId="20" borderId="3" xfId="0" applyFont="1" applyFill="1" applyBorder="1" applyAlignment="1">
      <alignment horizontal="center"/>
    </xf>
    <xf numFmtId="2" fontId="46" fillId="20" borderId="29" xfId="0" applyNumberFormat="1" applyFont="1" applyFill="1" applyBorder="1" applyAlignment="1">
      <alignment horizontal="center"/>
    </xf>
    <xf numFmtId="2" fontId="66" fillId="5" borderId="3" xfId="0" applyNumberFormat="1" applyFont="1" applyFill="1" applyBorder="1" applyAlignment="1">
      <alignment horizontal="center"/>
    </xf>
    <xf numFmtId="2" fontId="46" fillId="20" borderId="23" xfId="0" applyNumberFormat="1" applyFont="1" applyFill="1" applyBorder="1" applyAlignment="1">
      <alignment horizontal="center"/>
    </xf>
    <xf numFmtId="2" fontId="46" fillId="20" borderId="4" xfId="0" applyNumberFormat="1" applyFont="1" applyFill="1" applyBorder="1" applyAlignment="1">
      <alignment horizontal="center"/>
    </xf>
    <xf numFmtId="2" fontId="0" fillId="0" borderId="29" xfId="0" applyNumberFormat="1" applyFont="1" applyBorder="1"/>
    <xf numFmtId="2" fontId="0" fillId="0" borderId="23" xfId="0" applyNumberFormat="1" applyFont="1" applyBorder="1"/>
    <xf numFmtId="2" fontId="0" fillId="0" borderId="12" xfId="0" applyNumberFormat="1" applyFont="1" applyBorder="1"/>
    <xf numFmtId="2" fontId="0" fillId="0" borderId="30" xfId="0" applyNumberFormat="1" applyFont="1" applyBorder="1"/>
    <xf numFmtId="2" fontId="46" fillId="20" borderId="23" xfId="0" applyNumberFormat="1" applyFont="1" applyFill="1" applyBorder="1" applyAlignment="1">
      <alignment horizontal="center" wrapText="1"/>
    </xf>
    <xf numFmtId="2" fontId="52" fillId="6" borderId="12" xfId="0" applyNumberFormat="1" applyFont="1" applyFill="1" applyBorder="1" applyAlignment="1">
      <alignment horizontal="center"/>
    </xf>
    <xf numFmtId="2" fontId="37" fillId="6" borderId="12" xfId="0" applyNumberFormat="1" applyFont="1" applyFill="1" applyBorder="1" applyAlignment="1">
      <alignment horizontal="center" vertical="center"/>
    </xf>
    <xf numFmtId="2" fontId="46" fillId="20" borderId="73" xfId="0" applyNumberFormat="1" applyFont="1" applyFill="1" applyBorder="1" applyAlignment="1">
      <alignment horizontal="center"/>
    </xf>
    <xf numFmtId="4" fontId="88" fillId="3" borderId="13" xfId="0" applyNumberFormat="1" applyFont="1" applyFill="1" applyBorder="1" applyAlignment="1">
      <alignment horizontal="center"/>
    </xf>
    <xf numFmtId="2" fontId="15" fillId="0" borderId="12" xfId="0" applyNumberFormat="1" applyFont="1" applyBorder="1" applyAlignment="1">
      <alignment horizontal="center"/>
    </xf>
    <xf numFmtId="4" fontId="88" fillId="3" borderId="74" xfId="0" applyNumberFormat="1" applyFont="1" applyFill="1" applyBorder="1" applyAlignment="1">
      <alignment horizontal="center"/>
    </xf>
    <xf numFmtId="167" fontId="71" fillId="10" borderId="12" xfId="0" applyFont="1" applyFill="1" applyBorder="1" applyAlignment="1">
      <alignment horizontal="left"/>
    </xf>
    <xf numFmtId="2" fontId="70" fillId="10" borderId="12" xfId="0" applyNumberFormat="1" applyFont="1" applyFill="1" applyBorder="1" applyAlignment="1">
      <alignment horizontal="left"/>
    </xf>
    <xf numFmtId="2" fontId="46" fillId="10" borderId="12" xfId="0" applyNumberFormat="1" applyFont="1" applyFill="1" applyBorder="1" applyAlignment="1">
      <alignment horizontal="center" vertical="center"/>
    </xf>
    <xf numFmtId="167" fontId="70" fillId="10" borderId="12" xfId="0" applyFont="1" applyFill="1" applyBorder="1" applyAlignment="1">
      <alignment horizontal="left"/>
    </xf>
    <xf numFmtId="2" fontId="43" fillId="10" borderId="12" xfId="0" applyNumberFormat="1" applyFont="1" applyFill="1" applyBorder="1" applyAlignment="1">
      <alignment horizontal="center"/>
    </xf>
    <xf numFmtId="49" fontId="46" fillId="20" borderId="37" xfId="0" applyNumberFormat="1" applyFont="1" applyFill="1" applyBorder="1" applyAlignment="1">
      <alignment horizontal="center" vertical="center"/>
    </xf>
    <xf numFmtId="49" fontId="46" fillId="20" borderId="32" xfId="0" applyNumberFormat="1" applyFont="1" applyFill="1" applyBorder="1" applyAlignment="1">
      <alignment horizontal="center"/>
    </xf>
    <xf numFmtId="168" fontId="46" fillId="20" borderId="19" xfId="0" applyNumberFormat="1" applyFont="1" applyFill="1" applyBorder="1" applyAlignment="1">
      <alignment horizontal="center" vertical="center"/>
    </xf>
    <xf numFmtId="49" fontId="46" fillId="20" borderId="17" xfId="0" applyNumberFormat="1" applyFont="1" applyFill="1" applyBorder="1" applyAlignment="1">
      <alignment horizontal="center" vertical="center"/>
    </xf>
    <xf numFmtId="168" fontId="46" fillId="20" borderId="20" xfId="0" applyNumberFormat="1" applyFont="1" applyFill="1" applyBorder="1" applyAlignment="1">
      <alignment horizontal="center"/>
    </xf>
    <xf numFmtId="2" fontId="86" fillId="14" borderId="3" xfId="0" applyNumberFormat="1" applyFont="1" applyFill="1" applyBorder="1" applyAlignment="1">
      <alignment horizontal="center"/>
    </xf>
    <xf numFmtId="49" fontId="0" fillId="3" borderId="36" xfId="0" applyNumberFormat="1" applyFont="1" applyFill="1" applyBorder="1"/>
    <xf numFmtId="49" fontId="0" fillId="3" borderId="75" xfId="0" applyNumberFormat="1" applyFont="1" applyFill="1" applyBorder="1" applyAlignment="1">
      <alignment horizontal="center"/>
    </xf>
    <xf numFmtId="49" fontId="0" fillId="3" borderId="76" xfId="0" applyNumberFormat="1" applyFont="1" applyFill="1" applyBorder="1" applyAlignment="1">
      <alignment horizontal="left"/>
    </xf>
    <xf numFmtId="4" fontId="88" fillId="3" borderId="29" xfId="0" applyNumberFormat="1" applyFont="1" applyFill="1" applyBorder="1" applyAlignment="1">
      <alignment horizontal="center"/>
    </xf>
    <xf numFmtId="4" fontId="88" fillId="3" borderId="24" xfId="0" applyNumberFormat="1" applyFont="1" applyFill="1" applyBorder="1" applyAlignment="1">
      <alignment horizontal="center"/>
    </xf>
    <xf numFmtId="2" fontId="86" fillId="5" borderId="46" xfId="0" applyNumberFormat="1" applyFont="1" applyFill="1" applyBorder="1" applyAlignment="1">
      <alignment horizontal="center"/>
    </xf>
    <xf numFmtId="167" fontId="80" fillId="21" borderId="40" xfId="0" applyNumberFormat="1" applyFont="1" applyFill="1" applyBorder="1" applyAlignment="1">
      <alignment horizontal="center"/>
    </xf>
    <xf numFmtId="2" fontId="87" fillId="21" borderId="29" xfId="0" applyNumberFormat="1" applyFont="1" applyFill="1" applyBorder="1" applyAlignment="1">
      <alignment horizontal="center"/>
    </xf>
    <xf numFmtId="167" fontId="80" fillId="21" borderId="77" xfId="0" applyNumberFormat="1" applyFont="1" applyFill="1" applyBorder="1" applyAlignment="1">
      <alignment horizontal="center"/>
    </xf>
    <xf numFmtId="2" fontId="87" fillId="21" borderId="78" xfId="0" applyNumberFormat="1" applyFont="1" applyFill="1" applyBorder="1" applyAlignment="1">
      <alignment horizontal="center"/>
    </xf>
    <xf numFmtId="2" fontId="66" fillId="10" borderId="33" xfId="0" applyNumberFormat="1" applyFont="1" applyFill="1" applyBorder="1" applyAlignment="1">
      <alignment horizontal="right"/>
    </xf>
    <xf numFmtId="2" fontId="66" fillId="10" borderId="80" xfId="0" applyNumberFormat="1" applyFont="1" applyFill="1" applyBorder="1" applyAlignment="1">
      <alignment horizontal="right"/>
    </xf>
    <xf numFmtId="2" fontId="66" fillId="5" borderId="82" xfId="0" applyNumberFormat="1" applyFont="1" applyFill="1" applyBorder="1" applyAlignment="1">
      <alignment horizontal="center"/>
    </xf>
    <xf numFmtId="2" fontId="66" fillId="5" borderId="4" xfId="0" applyNumberFormat="1" applyFont="1" applyFill="1" applyBorder="1" applyAlignment="1">
      <alignment horizontal="center"/>
    </xf>
    <xf numFmtId="2" fontId="46" fillId="20" borderId="83" xfId="0" applyNumberFormat="1" applyFont="1" applyFill="1" applyBorder="1" applyAlignment="1">
      <alignment horizontal="center"/>
    </xf>
    <xf numFmtId="49" fontId="5" fillId="3" borderId="11" xfId="0" applyNumberFormat="1" applyFont="1" applyFill="1" applyBorder="1" applyAlignment="1">
      <alignment horizontal="left"/>
    </xf>
    <xf numFmtId="2" fontId="66" fillId="14" borderId="15" xfId="0" applyNumberFormat="1" applyFont="1" applyFill="1" applyBorder="1" applyAlignment="1">
      <alignment horizontal="center"/>
    </xf>
    <xf numFmtId="49" fontId="0" fillId="14" borderId="44" xfId="0" applyNumberFormat="1" applyFont="1" applyFill="1" applyBorder="1" applyAlignment="1">
      <alignment horizontal="center"/>
    </xf>
    <xf numFmtId="49" fontId="39" fillId="8" borderId="0" xfId="0" applyNumberFormat="1" applyFont="1" applyFill="1" applyBorder="1" applyAlignment="1">
      <alignment horizontal="center"/>
    </xf>
    <xf numFmtId="49" fontId="0" fillId="0" borderId="0" xfId="0" applyNumberFormat="1" applyFont="1" applyBorder="1" applyAlignment="1">
      <alignment horizontal="center"/>
    </xf>
    <xf numFmtId="49" fontId="61" fillId="12" borderId="61" xfId="0" applyNumberFormat="1" applyFont="1" applyFill="1" applyBorder="1" applyAlignment="1">
      <alignment horizontal="center"/>
    </xf>
    <xf numFmtId="2" fontId="66" fillId="14" borderId="84" xfId="0" applyNumberFormat="1" applyFont="1" applyFill="1" applyBorder="1" applyAlignment="1">
      <alignment horizontal="center"/>
    </xf>
    <xf numFmtId="49" fontId="5" fillId="3" borderId="14" xfId="0" applyNumberFormat="1" applyFont="1" applyFill="1" applyBorder="1" applyAlignment="1">
      <alignment horizontal="left"/>
    </xf>
    <xf numFmtId="49" fontId="44" fillId="5" borderId="0" xfId="0" applyNumberFormat="1" applyFont="1" applyFill="1" applyBorder="1"/>
    <xf numFmtId="2" fontId="66" fillId="5" borderId="0" xfId="0" applyNumberFormat="1" applyFont="1" applyFill="1" applyBorder="1" applyAlignment="1">
      <alignment horizontal="center"/>
    </xf>
    <xf numFmtId="49" fontId="39" fillId="5" borderId="0" xfId="0" applyNumberFormat="1" applyFont="1" applyFill="1" applyBorder="1" applyAlignment="1">
      <alignment horizontal="center"/>
    </xf>
    <xf numFmtId="49" fontId="39" fillId="5" borderId="0" xfId="0" applyNumberFormat="1" applyFont="1" applyFill="1" applyBorder="1" applyAlignment="1">
      <alignment horizontal="left"/>
    </xf>
    <xf numFmtId="49" fontId="44" fillId="5" borderId="0" xfId="0" applyNumberFormat="1" applyFont="1" applyFill="1" applyBorder="1" applyAlignment="1">
      <alignment horizontal="left"/>
    </xf>
    <xf numFmtId="49" fontId="83" fillId="5" borderId="0" xfId="0" applyNumberFormat="1" applyFont="1" applyFill="1" applyBorder="1" applyAlignment="1">
      <alignment horizontal="center"/>
    </xf>
    <xf numFmtId="49" fontId="83" fillId="5" borderId="0" xfId="0" applyNumberFormat="1" applyFont="1" applyFill="1" applyBorder="1" applyAlignment="1">
      <alignment horizontal="left"/>
    </xf>
    <xf numFmtId="49" fontId="40" fillId="3" borderId="84" xfId="0" applyNumberFormat="1" applyFont="1" applyFill="1" applyBorder="1" applyAlignment="1">
      <alignment horizontal="center"/>
    </xf>
    <xf numFmtId="49" fontId="40" fillId="3" borderId="85" xfId="0" applyNumberFormat="1" applyFont="1" applyFill="1" applyBorder="1" applyAlignment="1">
      <alignment horizontal="left"/>
    </xf>
    <xf numFmtId="2" fontId="0" fillId="8" borderId="18" xfId="0" applyNumberFormat="1" applyFont="1" applyFill="1" applyBorder="1" applyAlignment="1">
      <alignment horizontal="center"/>
    </xf>
    <xf numFmtId="167" fontId="0" fillId="8" borderId="19" xfId="0" applyFont="1" applyFill="1" applyBorder="1" applyAlignment="1">
      <alignment horizontal="center"/>
    </xf>
    <xf numFmtId="2" fontId="43" fillId="10" borderId="23" xfId="0" applyNumberFormat="1" applyFont="1" applyFill="1" applyBorder="1" applyAlignment="1">
      <alignment horizontal="center"/>
    </xf>
    <xf numFmtId="2" fontId="43" fillId="10" borderId="81" xfId="0" applyNumberFormat="1" applyFont="1" applyFill="1" applyBorder="1" applyAlignment="1">
      <alignment horizontal="center"/>
    </xf>
    <xf numFmtId="2" fontId="43" fillId="10" borderId="26" xfId="0" applyNumberFormat="1" applyFont="1" applyFill="1" applyBorder="1" applyAlignment="1">
      <alignment horizontal="center"/>
    </xf>
    <xf numFmtId="2" fontId="66" fillId="8" borderId="69" xfId="0" applyNumberFormat="1" applyFont="1" applyFill="1" applyBorder="1" applyAlignment="1">
      <alignment horizontal="center"/>
    </xf>
    <xf numFmtId="2" fontId="68" fillId="10" borderId="33" xfId="0" applyNumberFormat="1" applyFont="1" applyFill="1" applyBorder="1" applyAlignment="1">
      <alignment horizontal="center"/>
    </xf>
    <xf numFmtId="2" fontId="46" fillId="10" borderId="0" xfId="0" applyNumberFormat="1" applyFont="1" applyFill="1" applyBorder="1" applyAlignment="1">
      <alignment horizontal="center"/>
    </xf>
    <xf numFmtId="2" fontId="69" fillId="10" borderId="12" xfId="0" applyNumberFormat="1" applyFont="1" applyFill="1" applyBorder="1" applyAlignment="1">
      <alignment horizontal="center" vertical="center"/>
    </xf>
    <xf numFmtId="167" fontId="46" fillId="20" borderId="72" xfId="0" applyNumberFormat="1" applyFont="1" applyFill="1" applyBorder="1" applyAlignment="1">
      <alignment horizontal="center"/>
    </xf>
    <xf numFmtId="49" fontId="46" fillId="20" borderId="86" xfId="0" applyNumberFormat="1" applyFont="1" applyFill="1" applyBorder="1" applyAlignment="1">
      <alignment horizontal="center"/>
    </xf>
    <xf numFmtId="2" fontId="65" fillId="10" borderId="0" xfId="0" applyNumberFormat="1" applyFont="1" applyFill="1" applyBorder="1" applyAlignment="1">
      <alignment horizontal="center"/>
    </xf>
    <xf numFmtId="2" fontId="46" fillId="10" borderId="23" xfId="0" applyNumberFormat="1" applyFont="1" applyFill="1" applyBorder="1" applyAlignment="1">
      <alignment horizontal="center"/>
    </xf>
    <xf numFmtId="2" fontId="43" fillId="8" borderId="0" xfId="0" applyNumberFormat="1" applyFont="1" applyFill="1" applyBorder="1" applyAlignment="1">
      <alignment horizontal="center"/>
    </xf>
    <xf numFmtId="2" fontId="43" fillId="20" borderId="37" xfId="0" applyNumberFormat="1" applyFont="1" applyFill="1" applyBorder="1" applyAlignment="1">
      <alignment horizontal="center" vertical="center"/>
    </xf>
    <xf numFmtId="2" fontId="46" fillId="20" borderId="38" xfId="0" applyNumberFormat="1" applyFont="1" applyFill="1" applyBorder="1" applyAlignment="1">
      <alignment horizontal="center"/>
    </xf>
    <xf numFmtId="2" fontId="43" fillId="20" borderId="0" xfId="0" applyNumberFormat="1" applyFont="1" applyFill="1" applyBorder="1" applyAlignment="1">
      <alignment horizontal="center" vertical="center"/>
    </xf>
    <xf numFmtId="2" fontId="0" fillId="16" borderId="30" xfId="0" applyNumberFormat="1" applyFill="1" applyBorder="1" applyProtection="1">
      <protection locked="0"/>
    </xf>
    <xf numFmtId="2" fontId="0" fillId="17" borderId="30" xfId="0" applyNumberFormat="1" applyFill="1" applyBorder="1" applyProtection="1">
      <protection locked="0"/>
    </xf>
    <xf numFmtId="49" fontId="77" fillId="10" borderId="25" xfId="0" applyNumberFormat="1" applyFont="1" applyFill="1" applyBorder="1" applyAlignment="1">
      <alignment horizontal="left" wrapText="1" readingOrder="1"/>
    </xf>
    <xf numFmtId="49" fontId="70" fillId="10" borderId="25" xfId="0" applyNumberFormat="1" applyFont="1" applyFill="1" applyBorder="1" applyAlignment="1">
      <alignment horizontal="left" wrapText="1" readingOrder="1"/>
    </xf>
    <xf numFmtId="49" fontId="77" fillId="10" borderId="79" xfId="0" applyNumberFormat="1" applyFont="1" applyFill="1" applyBorder="1" applyAlignment="1">
      <alignment horizontal="left" wrapText="1" readingOrder="1"/>
    </xf>
    <xf numFmtId="49" fontId="77" fillId="10" borderId="25" xfId="0" applyNumberFormat="1" applyFont="1" applyFill="1" applyBorder="1" applyAlignment="1">
      <alignment wrapText="1" readingOrder="1"/>
    </xf>
    <xf numFmtId="49" fontId="77" fillId="10" borderId="25" xfId="0" applyNumberFormat="1" applyFont="1" applyFill="1" applyBorder="1" applyAlignment="1">
      <alignment readingOrder="1"/>
    </xf>
    <xf numFmtId="49" fontId="77" fillId="10" borderId="35" xfId="0" applyNumberFormat="1" applyFont="1" applyFill="1" applyBorder="1" applyAlignment="1"/>
    <xf numFmtId="167" fontId="42" fillId="10" borderId="22" xfId="0" applyNumberFormat="1" applyFont="1" applyFill="1" applyBorder="1" applyAlignment="1">
      <alignment horizontal="left"/>
    </xf>
    <xf numFmtId="167" fontId="42" fillId="5" borderId="22" xfId="0" applyNumberFormat="1" applyFont="1" applyFill="1" applyBorder="1" applyAlignment="1">
      <alignment horizontal="left"/>
    </xf>
    <xf numFmtId="167" fontId="42" fillId="10" borderId="51" xfId="0" applyNumberFormat="1" applyFont="1" applyFill="1" applyBorder="1" applyAlignment="1">
      <alignment horizontal="left"/>
    </xf>
    <xf numFmtId="167" fontId="12" fillId="2" borderId="18" xfId="0" applyFont="1" applyFill="1" applyBorder="1"/>
    <xf numFmtId="167" fontId="12" fillId="2" borderId="4" xfId="0" applyFont="1" applyFill="1" applyBorder="1"/>
    <xf numFmtId="167" fontId="0" fillId="2" borderId="0" xfId="0" applyFill="1" applyBorder="1" applyAlignment="1">
      <alignment horizontal="center"/>
    </xf>
    <xf numFmtId="167" fontId="37" fillId="2" borderId="0" xfId="0" applyFont="1" applyFill="1" applyBorder="1" applyAlignment="1">
      <alignment horizontal="left"/>
    </xf>
    <xf numFmtId="167" fontId="0" fillId="0" borderId="36" xfId="0" applyFont="1" applyBorder="1"/>
    <xf numFmtId="167" fontId="0" fillId="0" borderId="37" xfId="0" applyFont="1" applyBorder="1"/>
    <xf numFmtId="167" fontId="0" fillId="0" borderId="38" xfId="0" applyFont="1" applyBorder="1"/>
    <xf numFmtId="167" fontId="0" fillId="0" borderId="18" xfId="0" applyFont="1" applyBorder="1"/>
    <xf numFmtId="167" fontId="0" fillId="0" borderId="4" xfId="0" applyFont="1" applyBorder="1"/>
    <xf numFmtId="167" fontId="0" fillId="2" borderId="17" xfId="0" applyFill="1" applyBorder="1"/>
    <xf numFmtId="167" fontId="0" fillId="2" borderId="0" xfId="0" applyNumberFormat="1" applyFont="1" applyFill="1" applyBorder="1"/>
    <xf numFmtId="167" fontId="20" fillId="8" borderId="36" xfId="0" applyFont="1" applyFill="1" applyBorder="1"/>
    <xf numFmtId="167" fontId="20" fillId="8" borderId="37" xfId="0" applyFont="1" applyFill="1" applyBorder="1"/>
    <xf numFmtId="167" fontId="20" fillId="8" borderId="38" xfId="0" applyFont="1" applyFill="1" applyBorder="1"/>
    <xf numFmtId="167" fontId="80" fillId="3" borderId="40" xfId="0" applyNumberFormat="1" applyFont="1" applyFill="1" applyBorder="1" applyAlignment="1">
      <alignment horizontal="center"/>
    </xf>
    <xf numFmtId="2" fontId="46" fillId="20" borderId="37" xfId="0" applyNumberFormat="1" applyFont="1" applyFill="1" applyBorder="1" applyAlignment="1">
      <alignment horizontal="center" vertical="center"/>
    </xf>
    <xf numFmtId="2" fontId="46" fillId="20" borderId="0" xfId="0" applyNumberFormat="1" applyFont="1" applyFill="1" applyBorder="1" applyAlignment="1">
      <alignment horizontal="center" vertical="center"/>
    </xf>
    <xf numFmtId="49" fontId="46" fillId="20" borderId="3" xfId="0" applyNumberFormat="1" applyFont="1" applyFill="1" applyBorder="1" applyAlignment="1">
      <alignment horizontal="center"/>
    </xf>
    <xf numFmtId="167" fontId="46" fillId="20" borderId="32" xfId="0" applyFont="1" applyFill="1" applyBorder="1" applyAlignment="1">
      <alignment horizontal="center"/>
    </xf>
    <xf numFmtId="167" fontId="42" fillId="5" borderId="18" xfId="0" applyNumberFormat="1" applyFont="1" applyFill="1" applyBorder="1" applyAlignment="1">
      <alignment horizontal="left"/>
    </xf>
    <xf numFmtId="167" fontId="42" fillId="5" borderId="70" xfId="0" applyNumberFormat="1" applyFont="1" applyFill="1" applyBorder="1" applyAlignment="1">
      <alignment horizontal="left"/>
    </xf>
    <xf numFmtId="2" fontId="42" fillId="5" borderId="87" xfId="0" applyNumberFormat="1" applyFont="1" applyFill="1" applyBorder="1" applyAlignment="1">
      <alignment horizontal="center" wrapText="1"/>
    </xf>
    <xf numFmtId="2" fontId="42" fillId="5" borderId="88" xfId="0" applyNumberFormat="1" applyFont="1" applyFill="1" applyBorder="1" applyAlignment="1">
      <alignment horizontal="center" wrapText="1"/>
    </xf>
    <xf numFmtId="167" fontId="42" fillId="22" borderId="22" xfId="0" applyNumberFormat="1" applyFont="1" applyFill="1" applyBorder="1" applyAlignment="1">
      <alignment horizontal="left"/>
    </xf>
    <xf numFmtId="2" fontId="42" fillId="22" borderId="4" xfId="0" applyNumberFormat="1" applyFont="1" applyFill="1" applyBorder="1" applyAlignment="1">
      <alignment horizontal="center" wrapText="1"/>
    </xf>
    <xf numFmtId="2" fontId="42" fillId="22" borderId="4" xfId="0" applyNumberFormat="1" applyFont="1" applyFill="1" applyBorder="1" applyAlignment="1">
      <alignment horizontal="center"/>
    </xf>
    <xf numFmtId="167" fontId="42" fillId="22" borderId="22" xfId="0" applyNumberFormat="1" applyFont="1" applyFill="1" applyBorder="1" applyAlignment="1">
      <alignment horizontal="left" wrapText="1"/>
    </xf>
    <xf numFmtId="167" fontId="42" fillId="22" borderId="39" xfId="0" applyNumberFormat="1" applyFont="1" applyFill="1" applyBorder="1" applyAlignment="1">
      <alignment horizontal="left" wrapText="1"/>
    </xf>
    <xf numFmtId="2" fontId="42" fillId="22" borderId="20" xfId="0" applyNumberFormat="1" applyFont="1" applyFill="1" applyBorder="1" applyAlignment="1">
      <alignment horizontal="center" wrapText="1"/>
    </xf>
    <xf numFmtId="167" fontId="12" fillId="8" borderId="0" xfId="0" applyFont="1" applyFill="1" applyBorder="1"/>
    <xf numFmtId="167" fontId="32" fillId="8" borderId="0" xfId="0" applyFont="1" applyFill="1" applyBorder="1" applyAlignment="1">
      <alignment horizontal="left"/>
    </xf>
    <xf numFmtId="167" fontId="30" fillId="8" borderId="0" xfId="0" applyFont="1" applyFill="1" applyBorder="1" applyAlignment="1">
      <alignment horizontal="center"/>
    </xf>
    <xf numFmtId="16" fontId="33" fillId="8" borderId="0" xfId="0" applyNumberFormat="1" applyFont="1" applyFill="1" applyBorder="1" applyAlignment="1">
      <alignment horizontal="right"/>
    </xf>
    <xf numFmtId="167" fontId="32" fillId="8" borderId="0" xfId="0" applyFont="1" applyFill="1" applyBorder="1" applyAlignment="1">
      <alignment horizontal="right"/>
    </xf>
    <xf numFmtId="2" fontId="32" fillId="8" borderId="0" xfId="0" applyNumberFormat="1" applyFont="1" applyFill="1" applyBorder="1" applyAlignment="1">
      <alignment horizontal="right"/>
    </xf>
    <xf numFmtId="14" fontId="1" fillId="8" borderId="0" xfId="0" applyNumberFormat="1" applyFont="1" applyFill="1" applyBorder="1" applyAlignment="1">
      <alignment horizontal="right"/>
    </xf>
    <xf numFmtId="49" fontId="44" fillId="8" borderId="0" xfId="0" applyNumberFormat="1" applyFont="1" applyFill="1" applyBorder="1" applyAlignment="1">
      <alignment horizontal="left"/>
    </xf>
    <xf numFmtId="167" fontId="11" fillId="8" borderId="0" xfId="0" applyFont="1" applyFill="1" applyBorder="1" applyAlignment="1">
      <alignment horizontal="center"/>
    </xf>
    <xf numFmtId="2" fontId="36" fillId="8" borderId="0" xfId="0" applyNumberFormat="1" applyFont="1" applyFill="1" applyBorder="1" applyAlignment="1">
      <alignment horizontal="center"/>
    </xf>
    <xf numFmtId="167" fontId="2" fillId="8" borderId="0" xfId="0" applyFont="1" applyFill="1" applyBorder="1" applyAlignment="1">
      <alignment horizontal="right"/>
    </xf>
    <xf numFmtId="2" fontId="2" fillId="8" borderId="0" xfId="0" applyNumberFormat="1" applyFont="1" applyFill="1" applyBorder="1" applyAlignment="1">
      <alignment horizontal="right"/>
    </xf>
    <xf numFmtId="167" fontId="32" fillId="8" borderId="0" xfId="0" applyFont="1" applyFill="1" applyBorder="1" applyAlignment="1">
      <alignment horizontal="center"/>
    </xf>
    <xf numFmtId="167" fontId="44" fillId="8" borderId="0" xfId="0" applyNumberFormat="1" applyFont="1" applyFill="1" applyBorder="1" applyAlignment="1">
      <alignment horizontal="left"/>
    </xf>
    <xf numFmtId="49" fontId="46" fillId="8" borderId="0" xfId="0" applyNumberFormat="1" applyFont="1" applyFill="1" applyBorder="1" applyAlignment="1">
      <alignment horizontal="left"/>
    </xf>
    <xf numFmtId="167" fontId="66" fillId="10" borderId="48" xfId="0" applyNumberFormat="1" applyFont="1" applyFill="1" applyBorder="1" applyAlignment="1">
      <alignment horizontal="left"/>
    </xf>
    <xf numFmtId="167" fontId="66" fillId="10" borderId="22" xfId="0" applyNumberFormat="1" applyFont="1" applyFill="1" applyBorder="1" applyAlignment="1">
      <alignment horizontal="left"/>
    </xf>
    <xf numFmtId="167" fontId="66" fillId="10" borderId="89" xfId="0" applyNumberFormat="1" applyFont="1" applyFill="1" applyBorder="1" applyAlignment="1">
      <alignment horizontal="left"/>
    </xf>
    <xf numFmtId="2" fontId="42" fillId="10" borderId="90" xfId="0" applyNumberFormat="1" applyFont="1" applyFill="1" applyBorder="1" applyAlignment="1">
      <alignment horizontal="center" wrapText="1"/>
    </xf>
    <xf numFmtId="167" fontId="66" fillId="10" borderId="22" xfId="0" applyNumberFormat="1" applyFont="1" applyFill="1" applyBorder="1" applyAlignment="1">
      <alignment horizontal="left"/>
    </xf>
    <xf numFmtId="167" fontId="66" fillId="10" borderId="39" xfId="0" applyNumberFormat="1" applyFont="1" applyFill="1" applyBorder="1" applyAlignment="1">
      <alignment horizontal="left"/>
    </xf>
    <xf numFmtId="167" fontId="70" fillId="10" borderId="44" xfId="0" applyFont="1" applyFill="1" applyBorder="1" applyAlignment="1">
      <alignment horizontal="center"/>
    </xf>
    <xf numFmtId="167" fontId="70" fillId="10" borderId="3" xfId="0" applyFont="1" applyFill="1" applyBorder="1" applyAlignment="1">
      <alignment horizontal="center"/>
    </xf>
    <xf numFmtId="167" fontId="70" fillId="10" borderId="32" xfId="0" applyFont="1" applyFill="1" applyBorder="1" applyAlignment="1">
      <alignment horizontal="center"/>
    </xf>
    <xf numFmtId="2" fontId="0" fillId="23" borderId="0" xfId="0" applyNumberFormat="1" applyFont="1" applyFill="1" applyBorder="1"/>
    <xf numFmtId="2" fontId="0" fillId="23" borderId="0" xfId="0" applyNumberFormat="1" applyFont="1" applyFill="1" applyBorder="1" applyAlignment="1">
      <alignment horizontal="center"/>
    </xf>
    <xf numFmtId="2" fontId="14" fillId="23" borderId="0" xfId="0" applyNumberFormat="1" applyFont="1" applyFill="1" applyBorder="1" applyAlignment="1">
      <alignment horizontal="center"/>
    </xf>
    <xf numFmtId="49" fontId="64" fillId="23" borderId="0" xfId="0" applyNumberFormat="1" applyFont="1" applyFill="1" applyBorder="1" applyAlignment="1">
      <alignment horizontal="center"/>
    </xf>
    <xf numFmtId="2" fontId="64" fillId="23" borderId="0" xfId="0" applyNumberFormat="1" applyFont="1" applyFill="1" applyBorder="1" applyAlignment="1">
      <alignment horizontal="center"/>
    </xf>
    <xf numFmtId="2" fontId="54" fillId="23" borderId="0" xfId="0" applyNumberFormat="1" applyFont="1" applyFill="1" applyBorder="1" applyAlignment="1">
      <alignment horizontal="center"/>
    </xf>
    <xf numFmtId="2" fontId="53" fillId="23" borderId="0" xfId="0" applyNumberFormat="1" applyFont="1" applyFill="1" applyBorder="1"/>
    <xf numFmtId="2" fontId="11" fillId="23" borderId="0" xfId="0" applyNumberFormat="1" applyFont="1" applyFill="1" applyBorder="1" applyAlignment="1">
      <alignment horizontal="center"/>
    </xf>
    <xf numFmtId="2" fontId="33" fillId="23" borderId="0" xfId="0" applyNumberFormat="1" applyFont="1" applyFill="1" applyBorder="1" applyAlignment="1">
      <alignment horizontal="center"/>
    </xf>
    <xf numFmtId="2" fontId="48" fillId="23" borderId="0" xfId="0" applyNumberFormat="1" applyFont="1" applyFill="1" applyBorder="1" applyAlignment="1">
      <alignment horizontal="center"/>
    </xf>
    <xf numFmtId="2" fontId="55" fillId="23" borderId="0" xfId="0" applyNumberFormat="1" applyFont="1" applyFill="1" applyBorder="1" applyAlignment="1">
      <alignment horizontal="center"/>
    </xf>
    <xf numFmtId="2" fontId="1" fillId="23" borderId="0" xfId="0" applyNumberFormat="1" applyFont="1" applyFill="1" applyBorder="1" applyAlignment="1">
      <alignment horizontal="center"/>
    </xf>
    <xf numFmtId="167" fontId="89" fillId="9" borderId="36" xfId="0" applyFont="1" applyFill="1" applyBorder="1" applyAlignment="1">
      <alignment horizontal="center"/>
    </xf>
    <xf numFmtId="167" fontId="89" fillId="9" borderId="38" xfId="0" applyFont="1" applyFill="1" applyBorder="1" applyAlignment="1">
      <alignment horizontal="center"/>
    </xf>
    <xf numFmtId="49" fontId="89" fillId="9" borderId="21" xfId="0" applyNumberFormat="1" applyFont="1" applyFill="1" applyBorder="1" applyAlignment="1">
      <alignment horizontal="left"/>
    </xf>
    <xf numFmtId="2" fontId="89" fillId="9" borderId="2" xfId="0" applyNumberFormat="1" applyFont="1" applyFill="1" applyBorder="1" applyAlignment="1">
      <alignment horizontal="center" wrapText="1"/>
    </xf>
    <xf numFmtId="167" fontId="0" fillId="23" borderId="0" xfId="0" applyFont="1" applyFill="1" applyBorder="1"/>
    <xf numFmtId="49" fontId="90" fillId="8" borderId="1" xfId="0" applyNumberFormat="1" applyFont="1" applyFill="1" applyBorder="1" applyAlignment="1">
      <alignment horizontal="center"/>
    </xf>
    <xf numFmtId="2" fontId="39" fillId="23" borderId="0" xfId="0" applyNumberFormat="1" applyFont="1" applyFill="1" applyBorder="1" applyAlignment="1">
      <alignment horizontal="center"/>
    </xf>
    <xf numFmtId="2" fontId="41" fillId="23" borderId="0" xfId="0" applyNumberFormat="1" applyFont="1" applyFill="1" applyBorder="1" applyAlignment="1">
      <alignment horizontal="center" wrapText="1"/>
    </xf>
    <xf numFmtId="2" fontId="42" fillId="23" borderId="0" xfId="0" applyNumberFormat="1" applyFont="1" applyFill="1" applyBorder="1" applyAlignment="1">
      <alignment horizontal="center" wrapText="1"/>
    </xf>
    <xf numFmtId="2" fontId="42" fillId="23" borderId="0" xfId="0" applyNumberFormat="1" applyFont="1" applyFill="1" applyBorder="1" applyAlignment="1">
      <alignment horizontal="center"/>
    </xf>
    <xf numFmtId="2" fontId="43" fillId="23" borderId="0" xfId="0" applyNumberFormat="1" applyFont="1" applyFill="1" applyBorder="1" applyAlignment="1">
      <alignment horizontal="center"/>
    </xf>
    <xf numFmtId="2" fontId="5" fillId="6" borderId="0" xfId="0" applyNumberFormat="1" applyFont="1" applyFill="1" applyBorder="1" applyAlignment="1">
      <alignment horizontal="center"/>
    </xf>
    <xf numFmtId="2" fontId="43" fillId="10" borderId="38" xfId="0" applyNumberFormat="1" applyFont="1" applyFill="1" applyBorder="1" applyAlignment="1">
      <alignment horizontal="center"/>
    </xf>
    <xf numFmtId="2" fontId="43" fillId="10" borderId="4" xfId="0" applyNumberFormat="1" applyFont="1" applyFill="1" applyBorder="1" applyAlignment="1">
      <alignment horizontal="center"/>
    </xf>
    <xf numFmtId="2" fontId="43" fillId="10" borderId="20" xfId="0" applyNumberFormat="1" applyFont="1" applyFill="1" applyBorder="1" applyAlignment="1">
      <alignment horizontal="center"/>
    </xf>
    <xf numFmtId="2" fontId="47" fillId="23" borderId="0" xfId="0" applyNumberFormat="1" applyFont="1" applyFill="1" applyBorder="1" applyAlignment="1">
      <alignment horizontal="center"/>
    </xf>
    <xf numFmtId="2" fontId="0" fillId="23" borderId="0" xfId="0" applyNumberFormat="1" applyFont="1" applyFill="1" applyBorder="1" applyAlignment="1">
      <alignment horizontal="left"/>
    </xf>
    <xf numFmtId="2" fontId="13" fillId="23" borderId="0" xfId="0" applyNumberFormat="1" applyFont="1" applyFill="1" applyBorder="1" applyAlignment="1">
      <alignment horizontal="center"/>
    </xf>
    <xf numFmtId="2" fontId="35" fillId="23" borderId="0" xfId="0" applyNumberFormat="1" applyFont="1" applyFill="1" applyBorder="1" applyAlignment="1">
      <alignment horizontal="center"/>
    </xf>
    <xf numFmtId="2" fontId="57" fillId="23" borderId="0" xfId="0" applyNumberFormat="1" applyFont="1" applyFill="1" applyBorder="1" applyAlignment="1">
      <alignment horizontal="center"/>
    </xf>
    <xf numFmtId="2" fontId="20" fillId="23" borderId="0" xfId="0" applyNumberFormat="1" applyFont="1" applyFill="1" applyBorder="1" applyAlignment="1">
      <alignment horizontal="center"/>
    </xf>
    <xf numFmtId="167" fontId="20" fillId="23" borderId="0" xfId="0" applyFont="1" applyFill="1" applyBorder="1"/>
    <xf numFmtId="2" fontId="20" fillId="23" borderId="0" xfId="0" applyNumberFormat="1" applyFont="1" applyFill="1" applyBorder="1"/>
    <xf numFmtId="2" fontId="40" fillId="23" borderId="0" xfId="0" applyNumberFormat="1" applyFont="1" applyFill="1" applyBorder="1" applyAlignment="1">
      <alignment horizontal="center"/>
    </xf>
    <xf numFmtId="2" fontId="29" fillId="23" borderId="0" xfId="0" applyNumberFormat="1" applyFont="1" applyFill="1" applyBorder="1" applyAlignment="1">
      <alignment horizontal="center"/>
    </xf>
    <xf numFmtId="2" fontId="39" fillId="23" borderId="17" xfId="0" applyNumberFormat="1" applyFont="1" applyFill="1" applyBorder="1" applyAlignment="1">
      <alignment horizontal="center"/>
    </xf>
    <xf numFmtId="2" fontId="29" fillId="23" borderId="17" xfId="0" applyNumberFormat="1" applyFont="1" applyFill="1" applyBorder="1" applyAlignment="1">
      <alignment horizontal="center"/>
    </xf>
    <xf numFmtId="2" fontId="0" fillId="23" borderId="17" xfId="0" applyNumberFormat="1" applyFont="1" applyFill="1" applyBorder="1" applyAlignment="1">
      <alignment horizontal="center"/>
    </xf>
    <xf numFmtId="167" fontId="66" fillId="10" borderId="25" xfId="0" applyNumberFormat="1" applyFont="1" applyFill="1" applyBorder="1" applyAlignment="1">
      <alignment horizontal="left" wrapText="1" readingOrder="1"/>
    </xf>
    <xf numFmtId="2" fontId="42" fillId="10" borderId="23" xfId="0" applyNumberFormat="1" applyFont="1" applyFill="1" applyBorder="1" applyAlignment="1">
      <alignment horizontal="left"/>
    </xf>
    <xf numFmtId="167" fontId="66" fillId="10" borderId="25" xfId="0" applyNumberFormat="1" applyFont="1" applyFill="1" applyBorder="1" applyAlignment="1">
      <alignment wrapText="1" readingOrder="1"/>
    </xf>
    <xf numFmtId="167" fontId="66" fillId="10" borderId="35" xfId="0" applyNumberFormat="1" applyFont="1" applyFill="1" applyBorder="1" applyAlignment="1">
      <alignment wrapText="1" readingOrder="1"/>
    </xf>
    <xf numFmtId="2" fontId="42" fillId="10" borderId="26" xfId="0" applyNumberFormat="1" applyFont="1" applyFill="1" applyBorder="1" applyAlignment="1">
      <alignment horizontal="left"/>
    </xf>
    <xf numFmtId="2" fontId="2" fillId="8" borderId="0" xfId="0" applyNumberFormat="1" applyFont="1" applyFill="1" applyBorder="1" applyAlignment="1">
      <alignment horizontal="center" wrapText="1"/>
    </xf>
    <xf numFmtId="167" fontId="12" fillId="9" borderId="92" xfId="0" applyFont="1" applyFill="1" applyBorder="1" applyAlignment="1">
      <alignment horizontal="center"/>
    </xf>
    <xf numFmtId="167" fontId="12" fillId="9" borderId="11" xfId="0" applyFont="1" applyFill="1" applyBorder="1" applyAlignment="1">
      <alignment horizontal="center"/>
    </xf>
    <xf numFmtId="167" fontId="12" fillId="9" borderId="14" xfId="0" applyFont="1" applyFill="1" applyBorder="1" applyAlignment="1">
      <alignment horizontal="center"/>
    </xf>
    <xf numFmtId="167" fontId="12" fillId="9" borderId="8" xfId="0" applyFont="1" applyFill="1" applyBorder="1" applyAlignment="1">
      <alignment horizontal="center"/>
    </xf>
    <xf numFmtId="167" fontId="12" fillId="9" borderId="92" xfId="0" applyFont="1" applyFill="1" applyBorder="1"/>
    <xf numFmtId="167" fontId="12" fillId="9" borderId="11" xfId="0" applyFont="1" applyFill="1" applyBorder="1"/>
    <xf numFmtId="167" fontId="12" fillId="9" borderId="14" xfId="0" applyFont="1" applyFill="1" applyBorder="1"/>
    <xf numFmtId="2" fontId="43" fillId="20" borderId="23" xfId="0" applyNumberFormat="1" applyFont="1" applyFill="1" applyBorder="1" applyAlignment="1">
      <alignment horizontal="center" wrapText="1"/>
    </xf>
    <xf numFmtId="0" fontId="0" fillId="2" borderId="18" xfId="0" applyNumberFormat="1" applyFont="1" applyFill="1" applyBorder="1"/>
    <xf numFmtId="0" fontId="0" fillId="2" borderId="0" xfId="0" applyNumberFormat="1" applyFont="1" applyFill="1" applyBorder="1"/>
    <xf numFmtId="0" fontId="0" fillId="2" borderId="4" xfId="0" applyNumberFormat="1" applyFont="1" applyFill="1" applyBorder="1"/>
    <xf numFmtId="167" fontId="91" fillId="20" borderId="1" xfId="0" applyFont="1" applyFill="1" applyBorder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167" fontId="0" fillId="0" borderId="0" xfId="0" applyAlignment="1">
      <alignment horizontal="right"/>
    </xf>
    <xf numFmtId="167" fontId="91" fillId="20" borderId="5" xfId="0" applyFont="1" applyFill="1" applyBorder="1" applyAlignment="1">
      <alignment horizontal="center"/>
    </xf>
    <xf numFmtId="167" fontId="91" fillId="20" borderId="7" xfId="0" applyFont="1" applyFill="1" applyBorder="1" applyAlignment="1">
      <alignment horizontal="center"/>
    </xf>
    <xf numFmtId="167" fontId="92" fillId="20" borderId="21" xfId="0" applyFont="1" applyFill="1" applyBorder="1"/>
    <xf numFmtId="49" fontId="91" fillId="20" borderId="91" xfId="0" applyNumberFormat="1" applyFont="1" applyFill="1" applyBorder="1" applyAlignment="1">
      <alignment horizontal="center"/>
    </xf>
    <xf numFmtId="167" fontId="91" fillId="20" borderId="2" xfId="0" applyFont="1" applyFill="1" applyBorder="1" applyAlignment="1">
      <alignment horizontal="right"/>
    </xf>
    <xf numFmtId="167" fontId="0" fillId="9" borderId="85" xfId="0" applyFill="1" applyBorder="1" applyAlignment="1">
      <alignment horizontal="center"/>
    </xf>
    <xf numFmtId="49" fontId="0" fillId="8" borderId="37" xfId="0" applyNumberFormat="1" applyFill="1" applyBorder="1" applyAlignment="1">
      <alignment horizontal="center"/>
    </xf>
    <xf numFmtId="167" fontId="0" fillId="9" borderId="13" xfId="0" applyFill="1" applyBorder="1" applyAlignment="1">
      <alignment horizontal="center"/>
    </xf>
    <xf numFmtId="2" fontId="2" fillId="9" borderId="0" xfId="0" applyNumberFormat="1" applyFont="1" applyFill="1" applyAlignment="1">
      <alignment horizontal="center" wrapText="1"/>
    </xf>
    <xf numFmtId="49" fontId="0" fillId="8" borderId="0" xfId="0" applyNumberFormat="1" applyFill="1" applyAlignment="1">
      <alignment horizontal="center"/>
    </xf>
    <xf numFmtId="167" fontId="0" fillId="9" borderId="16" xfId="0" applyFill="1" applyBorder="1" applyAlignment="1">
      <alignment horizontal="center"/>
    </xf>
    <xf numFmtId="167" fontId="0" fillId="9" borderId="10" xfId="0" applyFill="1" applyBorder="1" applyAlignment="1">
      <alignment horizontal="center"/>
    </xf>
    <xf numFmtId="49" fontId="0" fillId="8" borderId="17" xfId="0" applyNumberFormat="1" applyFill="1" applyBorder="1" applyAlignment="1">
      <alignment horizontal="center"/>
    </xf>
    <xf numFmtId="167" fontId="0" fillId="9" borderId="0" xfId="0" applyFill="1"/>
    <xf numFmtId="167" fontId="0" fillId="9" borderId="0" xfId="0" applyFill="1" applyAlignment="1">
      <alignment horizontal="center"/>
    </xf>
    <xf numFmtId="49" fontId="77" fillId="9" borderId="0" xfId="0" applyNumberFormat="1" applyFont="1" applyFill="1" applyAlignment="1">
      <alignment horizontal="left" wrapText="1" readingOrder="1"/>
    </xf>
    <xf numFmtId="2" fontId="43" fillId="9" borderId="0" xfId="0" applyNumberFormat="1" applyFont="1" applyFill="1" applyAlignment="1">
      <alignment horizontal="center"/>
    </xf>
    <xf numFmtId="167" fontId="91" fillId="20" borderId="2" xfId="0" applyFont="1" applyFill="1" applyBorder="1" applyAlignment="1">
      <alignment horizontal="center"/>
    </xf>
    <xf numFmtId="167" fontId="12" fillId="9" borderId="85" xfId="0" applyFont="1" applyFill="1" applyBorder="1" applyAlignment="1">
      <alignment horizontal="center"/>
    </xf>
    <xf numFmtId="167" fontId="12" fillId="9" borderId="13" xfId="0" applyFont="1" applyFill="1" applyBorder="1" applyAlignment="1">
      <alignment horizontal="center"/>
    </xf>
    <xf numFmtId="167" fontId="76" fillId="9" borderId="0" xfId="0" applyFont="1" applyFill="1" applyAlignment="1">
      <alignment horizontal="center" vertical="center" wrapText="1"/>
    </xf>
    <xf numFmtId="167" fontId="12" fillId="9" borderId="16" xfId="0" applyFont="1" applyFill="1" applyBorder="1" applyAlignment="1">
      <alignment horizontal="center"/>
    </xf>
    <xf numFmtId="49" fontId="11" fillId="9" borderId="0" xfId="0" applyNumberFormat="1" applyFont="1" applyFill="1" applyAlignment="1">
      <alignment horizontal="left"/>
    </xf>
    <xf numFmtId="4" fontId="92" fillId="20" borderId="21" xfId="0" applyNumberFormat="1" applyFont="1" applyFill="1" applyBorder="1" applyAlignment="1">
      <alignment horizontal="center"/>
    </xf>
    <xf numFmtId="49" fontId="11" fillId="9" borderId="0" xfId="0" applyNumberFormat="1" applyFont="1" applyFill="1" applyAlignment="1">
      <alignment horizontal="center"/>
    </xf>
    <xf numFmtId="167" fontId="70" fillId="10" borderId="36" xfId="0" applyFont="1" applyFill="1" applyBorder="1" applyAlignment="1">
      <alignment horizontal="center"/>
    </xf>
    <xf numFmtId="167" fontId="70" fillId="10" borderId="18" xfId="0" applyFont="1" applyFill="1" applyBorder="1" applyAlignment="1">
      <alignment horizontal="center"/>
    </xf>
    <xf numFmtId="167" fontId="70" fillId="10" borderId="19" xfId="0" applyFont="1" applyFill="1" applyBorder="1" applyAlignment="1">
      <alignment horizontal="center"/>
    </xf>
    <xf numFmtId="167" fontId="70" fillId="8" borderId="0" xfId="0" applyFont="1" applyFill="1" applyBorder="1" applyAlignment="1">
      <alignment horizontal="center"/>
    </xf>
    <xf numFmtId="167" fontId="0" fillId="0" borderId="0" xfId="0" applyFont="1" applyFill="1" applyBorder="1" applyAlignment="1">
      <alignment horizontal="right"/>
    </xf>
    <xf numFmtId="2" fontId="32" fillId="0" borderId="0" xfId="0" applyNumberFormat="1" applyFont="1" applyFill="1" applyBorder="1" applyAlignment="1">
      <alignment horizontal="right"/>
    </xf>
    <xf numFmtId="2" fontId="0" fillId="0" borderId="0" xfId="0" applyNumberFormat="1" applyFont="1" applyFill="1" applyBorder="1" applyAlignment="1">
      <alignment horizontal="right"/>
    </xf>
    <xf numFmtId="9" fontId="91" fillId="20" borderId="36" xfId="0" applyNumberFormat="1" applyFont="1" applyFill="1" applyBorder="1" applyAlignment="1">
      <alignment horizontal="center"/>
    </xf>
    <xf numFmtId="167" fontId="91" fillId="20" borderId="38" xfId="0" applyFont="1" applyFill="1" applyBorder="1"/>
    <xf numFmtId="49" fontId="0" fillId="9" borderId="0" xfId="0" applyNumberFormat="1" applyFont="1" applyFill="1" applyBorder="1" applyAlignment="1">
      <alignment horizontal="left"/>
    </xf>
    <xf numFmtId="49" fontId="0" fillId="9" borderId="0" xfId="0" applyNumberFormat="1" applyFont="1" applyFill="1" applyBorder="1" applyAlignment="1">
      <alignment horizontal="center"/>
    </xf>
    <xf numFmtId="167" fontId="0" fillId="9" borderId="0" xfId="0" applyFont="1" applyFill="1" applyBorder="1" applyAlignment="1">
      <alignment horizontal="right"/>
    </xf>
    <xf numFmtId="49" fontId="91" fillId="20" borderId="37" xfId="0" applyNumberFormat="1" applyFont="1" applyFill="1" applyBorder="1" applyAlignment="1">
      <alignment horizontal="center"/>
    </xf>
    <xf numFmtId="167" fontId="12" fillId="9" borderId="40" xfId="0" applyFont="1" applyFill="1" applyBorder="1"/>
    <xf numFmtId="167" fontId="12" fillId="9" borderId="82" xfId="0" applyFont="1" applyFill="1" applyBorder="1" applyAlignment="1">
      <alignment horizontal="center"/>
    </xf>
    <xf numFmtId="167" fontId="12" fillId="9" borderId="77" xfId="0" applyFont="1" applyFill="1" applyBorder="1"/>
    <xf numFmtId="167" fontId="12" fillId="9" borderId="93" xfId="0" applyFont="1" applyFill="1" applyBorder="1" applyAlignment="1">
      <alignment horizontal="center"/>
    </xf>
    <xf numFmtId="167" fontId="12" fillId="9" borderId="42" xfId="0" applyFont="1" applyFill="1" applyBorder="1"/>
    <xf numFmtId="167" fontId="12" fillId="9" borderId="94" xfId="0" applyFont="1" applyFill="1" applyBorder="1" applyAlignment="1">
      <alignment horizontal="center"/>
    </xf>
    <xf numFmtId="49" fontId="0" fillId="8" borderId="27" xfId="0" applyNumberFormat="1" applyFill="1" applyBorder="1" applyAlignment="1">
      <alignment horizontal="center"/>
    </xf>
    <xf numFmtId="49" fontId="0" fillId="8" borderId="24" xfId="0" applyNumberFormat="1" applyFill="1" applyBorder="1" applyAlignment="1">
      <alignment horizontal="center"/>
    </xf>
    <xf numFmtId="49" fontId="0" fillId="8" borderId="25" xfId="0" applyNumberFormat="1" applyFill="1" applyBorder="1" applyAlignment="1">
      <alignment horizontal="center"/>
    </xf>
    <xf numFmtId="49" fontId="0" fillId="8" borderId="23" xfId="0" applyNumberFormat="1" applyFill="1" applyBorder="1" applyAlignment="1">
      <alignment horizontal="center"/>
    </xf>
    <xf numFmtId="49" fontId="0" fillId="8" borderId="35" xfId="0" applyNumberFormat="1" applyFill="1" applyBorder="1" applyAlignment="1">
      <alignment horizontal="center"/>
    </xf>
    <xf numFmtId="49" fontId="0" fillId="8" borderId="26" xfId="0" applyNumberFormat="1" applyFill="1" applyBorder="1" applyAlignment="1">
      <alignment horizontal="center"/>
    </xf>
    <xf numFmtId="49" fontId="0" fillId="9" borderId="0" xfId="0" applyNumberFormat="1" applyFont="1" applyFill="1" applyBorder="1"/>
    <xf numFmtId="2" fontId="0" fillId="9" borderId="0" xfId="0" applyNumberFormat="1" applyFont="1" applyFill="1" applyBorder="1" applyAlignment="1">
      <alignment horizontal="right"/>
    </xf>
    <xf numFmtId="14" fontId="1" fillId="9" borderId="0" xfId="0" applyNumberFormat="1" applyFont="1" applyFill="1" applyBorder="1" applyAlignment="1">
      <alignment horizontal="right"/>
    </xf>
    <xf numFmtId="167" fontId="12" fillId="18" borderId="34" xfId="0" applyFont="1" applyFill="1" applyBorder="1" applyAlignment="1">
      <alignment horizontal="center"/>
    </xf>
    <xf numFmtId="167" fontId="12" fillId="19" borderId="28" xfId="0" applyFont="1" applyFill="1" applyBorder="1" applyAlignment="1">
      <alignment horizontal="left"/>
    </xf>
    <xf numFmtId="167" fontId="12" fillId="19" borderId="47" xfId="0" applyFont="1" applyFill="1" applyBorder="1" applyAlignment="1">
      <alignment horizontal="left"/>
    </xf>
    <xf numFmtId="167" fontId="12" fillId="19" borderId="29" xfId="0" applyFont="1" applyFill="1" applyBorder="1" applyAlignment="1">
      <alignment horizontal="left"/>
    </xf>
    <xf numFmtId="167" fontId="0" fillId="15" borderId="12" xfId="0" applyFont="1" applyFill="1" applyBorder="1" applyAlignment="1">
      <alignment horizontal="left"/>
    </xf>
    <xf numFmtId="167" fontId="0" fillId="17" borderId="12" xfId="0" applyFont="1" applyFill="1" applyBorder="1" applyAlignment="1">
      <alignment horizontal="left"/>
    </xf>
    <xf numFmtId="167" fontId="89" fillId="9" borderId="36" xfId="0" applyFont="1" applyFill="1" applyBorder="1" applyAlignment="1">
      <alignment horizontal="center"/>
    </xf>
    <xf numFmtId="167" fontId="89" fillId="9" borderId="38" xfId="0" applyFont="1" applyFill="1" applyBorder="1" applyAlignment="1">
      <alignment horizontal="center"/>
    </xf>
    <xf numFmtId="167" fontId="93" fillId="0" borderId="0" xfId="5"/>
  </cellXfs>
  <cellStyles count="6">
    <cellStyle name="blp_column_header" xfId="1"/>
    <cellStyle name="Hyperlink" xfId="5" builtinId="8"/>
    <cellStyle name="Normal" xfId="0" builtinId="0"/>
    <cellStyle name="Normal 2" xfId="2"/>
    <cellStyle name="Normal 3" xfId="3"/>
    <cellStyle name="常规 5" xfId="4"/>
  </cellStyles>
  <dxfs count="20">
    <dxf>
      <font>
        <color rgb="FF00B05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color rgb="FF92D050"/>
      </font>
      <fill>
        <patternFill patternType="solid">
          <fgColor indexed="64"/>
          <bgColor indexed="65"/>
        </patternFill>
      </fill>
    </dxf>
    <dxf>
      <fill>
        <patternFill>
          <bgColor rgb="FFFFC000"/>
        </patternFill>
      </fill>
    </dxf>
    <dxf>
      <font>
        <b/>
        <i val="0"/>
        <strike val="0"/>
        <condense val="0"/>
        <extend val="0"/>
        <outline val="0"/>
        <shadow val="0"/>
        <color rgb="FF00B050"/>
      </font>
    </dxf>
    <dxf>
      <font>
        <b/>
        <i val="0"/>
        <strike val="0"/>
        <condense val="0"/>
        <extend val="0"/>
        <outline val="0"/>
        <shadow val="0"/>
        <color rgb="FF00B050"/>
      </font>
    </dxf>
    <dxf>
      <font>
        <b/>
        <i val="0"/>
        <strike val="0"/>
        <condense val="0"/>
        <extend val="0"/>
        <outline val="0"/>
        <shadow val="0"/>
        <color rgb="FFFF0000"/>
      </font>
    </dxf>
    <dxf>
      <font>
        <b/>
        <i val="0"/>
        <strike val="0"/>
        <condense val="0"/>
        <extend val="0"/>
        <outline val="0"/>
        <shadow val="0"/>
        <color auto="1"/>
      </font>
      <fill>
        <patternFill patternType="solid">
          <fgColor indexed="64"/>
          <bgColor rgb="FF92D050"/>
        </patternFill>
      </fill>
    </dxf>
    <dxf>
      <font>
        <b/>
        <i val="0"/>
        <strike val="0"/>
        <condense val="0"/>
        <extend val="0"/>
        <outline val="0"/>
        <shadow val="0"/>
        <color auto="1"/>
      </font>
      <fill>
        <patternFill patternType="solid">
          <fgColor indexed="64"/>
          <bgColor rgb="FFF26750"/>
        </patternFill>
      </fill>
    </dxf>
    <dxf>
      <font>
        <b/>
        <i val="0"/>
        <strike val="0"/>
        <condense val="0"/>
        <extend val="0"/>
        <outline val="0"/>
        <shadow val="0"/>
        <color auto="1"/>
      </font>
      <fill>
        <patternFill patternType="solid">
          <fgColor indexed="64"/>
          <bgColor theme="6" tint="0.59996337778862885"/>
        </patternFill>
      </fill>
    </dxf>
    <dxf>
      <font>
        <b/>
        <i val="0"/>
        <strike val="0"/>
        <condense val="0"/>
        <extend val="0"/>
        <outline val="0"/>
        <shadow val="0"/>
      </font>
      <fill>
        <patternFill patternType="solid">
          <fgColor indexed="64"/>
          <bgColor rgb="FFF77A65"/>
        </patternFill>
      </fill>
    </dxf>
    <dxf>
      <font>
        <b/>
        <i val="0"/>
        <strike val="0"/>
        <condense val="0"/>
        <extend val="0"/>
        <outline val="0"/>
        <shadow val="0"/>
        <color auto="1"/>
      </font>
      <fill>
        <patternFill patternType="solid">
          <fgColor indexed="64"/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Connection</v>
        <stp/>
        <stp>##V3_BDPV12</stp>
        <stp>SCOJ0K0 Comdty</stp>
        <stp>ASK</stp>
        <stp>[Predicted levels.xlsx (12)MYLES NEWEST EVER SPREADSHEET(1).xlsm]predicted levels!R41C5</stp>
        <tr r="E41" s="1"/>
      </tp>
      <tp t="s">
        <v>#N/A Connection</v>
        <stp/>
        <stp>##V3_BDPV12</stp>
        <stp>SCOH0J0 Comdty</stp>
        <stp>BID</stp>
        <stp>[Predicted levels.xlsx (12)MYLES NEWEST EVER SPREADSHEET(1).xlsm]predicted levels!R40C4</stp>
        <tr r="D40" s="1"/>
      </tp>
      <tp t="s">
        <v>#N/A Connection</v>
        <stp/>
        <stp>##V3_BDPV12</stp>
        <stp>SCOJ0K0 Comdty</stp>
        <stp>BID</stp>
        <stp>[Predicted levels.xlsx (12)MYLES NEWEST EVER SPREADSHEET(1).xlsm]predicted levels!R42C4</stp>
        <tr r="D42" s="1"/>
      </tp>
      <tp t="s">
        <v>#N/A Connection</v>
        <stp/>
        <stp>##V3_BDPV12</stp>
        <stp>SCOH0J0 Comdty</stp>
        <stp>ASK</stp>
        <stp>[Predicted levels.xlsx (12)MYLES NEWEST EVER SPREADSHEET(1).xlsm]predicted levels!R40C5</stp>
        <tr r="E40" s="1"/>
      </tp>
      <tp t="s">
        <v>#N/A Connection</v>
        <stp/>
        <stp>##V3_BDPV12</stp>
        <stp>SCOJ0K0 Comdty</stp>
        <stp>ASK</stp>
        <stp>[Predicted levels.xlsx (12)MYLES NEWEST EVER SPREADSHEET(1).xlsm]predicted levels!R42C5</stp>
        <tr r="E42" s="1"/>
      </tp>
      <tp t="s">
        <v>#N/A Connection</v>
        <stp/>
        <stp>##V3_BDPV12</stp>
        <stp>SCOJ0K0 Comdty</stp>
        <stp>BID</stp>
        <stp>[Predicted levels.xlsx (12)MYLES NEWEST EVER SPREADSHEET(1).xlsm]predicted levels!R41C4</stp>
        <tr r="D41" s="1"/>
      </tp>
      <tp t="s">
        <v>#N/A Connection</v>
        <stp/>
        <stp>##V3_BDPV12</stp>
        <stp>SCOG0H0 Comdty</stp>
        <stp>ASK</stp>
        <stp>[Predicted levels.xlsx (12)MYLES NEWEST EVER SPREADSHEET(1).xlsm]predicted levels!R39C5</stp>
        <tr r="E39" s="1"/>
      </tp>
      <tp t="s">
        <v>#N/A Connection</v>
        <stp/>
        <stp>##V3_BDPV12</stp>
        <stp>SCOF0G0 Comdty</stp>
        <stp>ASK</stp>
        <stp>[Predicted levels.xlsx (12)MYLES NEWEST EVER SPREADSHEET(1).xlsm]predicted levels!R38C5</stp>
        <tr r="E38" s="1"/>
      </tp>
      <tp t="s">
        <v>#N/A Connection</v>
        <stp/>
        <stp>##V3_BDPV12</stp>
        <stp>SCOF0G0 Comdty</stp>
        <stp>BID</stp>
        <stp>[Predicted levels.xlsx (12)MYLES NEWEST EVER SPREADSHEET(1).xlsm]predicted levels!R38C4</stp>
        <tr r="D38" s="1"/>
      </tp>
      <tp t="s">
        <v>#N/A Connection</v>
        <stp/>
        <stp>##V3_BDPV12</stp>
        <stp>SCOG0H0 Comdty</stp>
        <stp>BID</stp>
        <stp>[Predicted levels.xlsx (12)MYLES NEWEST EVER SPREADSHEET(1).xlsm]predicted levels!R39C4</stp>
        <tr r="D39" s="1"/>
      </tp>
      <tp t="s">
        <v>#N/A Connection</v>
        <stp/>
        <stp>##V3_BDPV12</stp>
        <stp>SCOX9Z9 Comdty</stp>
        <stp>ASK</stp>
        <stp>[Predicted levels.xlsx (12)MYLES NEWEST EVER SPREADSHEET(1).xlsm]predicted levels!R36C5</stp>
        <tr r="E36" s="1"/>
      </tp>
      <tp t="s">
        <v>#N/A Connection</v>
        <stp/>
        <stp>##V3_BDPV12</stp>
        <stp>SCOZ9F0 Comdty</stp>
        <stp>BID</stp>
        <stp>[Predicted levels.xlsx (12)MYLES NEWEST EVER SPREADSHEET(1).xlsm]predicted levels!R37C4</stp>
        <tr r="D37" s="1"/>
      </tp>
      <tp t="s">
        <v>#N/A Connection</v>
        <stp/>
        <stp>##V3_BDPV12</stp>
        <stp>SCOZ9F0 Comdty</stp>
        <stp>ASK</stp>
        <stp>[Predicted levels.xlsx (12)MYLES NEWEST EVER SPREADSHEET(1).xlsm]predicted levels!R37C5</stp>
        <tr r="E37" s="1"/>
      </tp>
      <tp t="s">
        <v>#N/A Connection</v>
        <stp/>
        <stp>##V3_BDPV12</stp>
        <stp>SCOX9Z9 Comdty</stp>
        <stp>BID</stp>
        <stp>[Predicted levels.xlsx (12)MYLES NEWEST EVER SPREADSHEET(1).xlsm]predicted levels!R36C4</stp>
        <tr r="D36" s="1"/>
      </tp>
      <tp t="s">
        <v>#N/A Connection</v>
        <stp/>
        <stp>##V3_BDPV12</stp>
        <stp>IOEA COMDTY</stp>
        <stp>LAST_TRADE</stp>
        <stp>[Predicted levels.xlsx (12)MYLES NEWEST EVER SPREADSHEET(1).xlsm]predicted levels!R8C23</stp>
        <stp>Fill</stp>
        <stp>B</stp>
        <tr r="W8" s="1"/>
      </tp>
      <tp t="s">
        <v>#N/A Connection</v>
        <stp/>
        <stp>##V3_BDPV12</stp>
        <stp>IOEA COMDTY</stp>
        <stp>LAST_TRADE</stp>
        <stp>[Predicted levels.xlsx (12)MYLES NEWEST EVER SPREADSHEET(1).xlsm]predicted levels!R8C10</stp>
        <stp>Fill</stp>
        <stp>B</stp>
        <tr r="J8" s="1"/>
      </tp>
      <tp t="s">
        <v>#N/A Connection</v>
        <stp/>
        <stp>##V3_BDPV12</stp>
        <stp>SCO1 Comdty</stp>
        <stp>BID</stp>
        <stp>[Predicted levels.xlsx (12)MYLES NEWEST EVER SPREADSHEET(1).xlsm]predicted levels!R9C4</stp>
        <tr r="D9" s="1"/>
      </tp>
      <tp t="s">
        <v>#N/A Connection</v>
        <stp/>
        <stp>##V3_BDPV12</stp>
        <stp>SCO1 Comdty</stp>
        <stp>ASK</stp>
        <stp>[Predicted levels.xlsx (12)MYLES NEWEST EVER SPREADSHEET(1).xlsm]predicted levels!R9C5</stp>
        <tr r="E9" s="1"/>
      </tp>
      <tp t="s">
        <v>#N/A Connection</v>
        <stp/>
        <stp>##V3_BDPV12</stp>
        <stp>SCO11 Comdty</stp>
        <stp>BID</stp>
        <stp>[Predicted levels.xlsx (12)MYLES NEWEST EVER SPREADSHEET(1).xlsm]predicted levels!R19C4</stp>
        <tr r="D19" s="1"/>
      </tp>
      <tp t="s">
        <v>#N/A Connection</v>
        <stp/>
        <stp>##V3_BDPV12</stp>
        <stp>SCO10 Comdty</stp>
        <stp>BID</stp>
        <stp>[Predicted levels.xlsx (12)MYLES NEWEST EVER SPREADSHEET(1).xlsm]predicted levels!R18C4</stp>
        <tr r="D18" s="1"/>
      </tp>
      <tp t="s">
        <v>#N/A Connection</v>
        <stp/>
        <stp>##V3_BDPV12</stp>
        <stp>SCO10 Comdty</stp>
        <stp>ASK</stp>
        <stp>[Predicted levels.xlsx (12)MYLES NEWEST EVER SPREADSHEET(1).xlsm]predicted levels!R18C5</stp>
        <tr r="E18" s="1"/>
      </tp>
      <tp t="s">
        <v>#N/A Connection</v>
        <stp/>
        <stp>##V3_BDPV12</stp>
        <stp>CNY Curncy</stp>
        <stp>LAST_PRICE</stp>
        <stp>[Predicted levels.xlsx (12)MYLES NEWEST EVER SPREADSHEET(1).xlsm]Steel FOB Calc!R5C4</stp>
        <tr r="D5" s="4"/>
      </tp>
      <tp t="s">
        <v>#N/A Connection</v>
        <stp/>
        <stp>##V3_BDPV12</stp>
        <stp>IOE5 COMDTY</stp>
        <stp>PX_LAST</stp>
        <stp>[Predicted levels.xlsx (12)MYLES NEWEST EVER SPREADSHEET(1).xlsm]predicted levels!R48C19</stp>
        <stp>Fill</stp>
        <stp>B</stp>
        <tr r="S48" s="1"/>
      </tp>
      <tp t="s">
        <v>#N/A Connection</v>
        <stp/>
        <stp>##V3_BDPV12</stp>
        <stp>CNY Curncy</stp>
        <stp>LAST_PRICE</stp>
        <stp>[Predicted levels.xlsx (12)MYLES NEWEST EVER SPREADSHEET(1).xlsm]Phys calcs!R7C2</stp>
        <tr r="B7" s="6"/>
      </tp>
      <tp t="s">
        <v>#N/A Connection</v>
        <stp/>
        <stp>##V3_BDPV12</stp>
        <stp>SCO12 Comdty</stp>
        <stp>ASK</stp>
        <stp>[Predicted levels.xlsx (12)MYLES NEWEST EVER SPREADSHEET(1).xlsm]predicted levels!R19C5</stp>
        <tr r="E19" s="1"/>
      </tp>
      <tp t="s">
        <v>#N/A Connection</v>
        <stp/>
        <stp>##V3_BDPV12</stp>
        <stp>SCO15 Comdty</stp>
        <stp>ASK</stp>
        <stp>[Predicted levels.xlsx (12)MYLES NEWEST EVER SPREADSHEET(1).xlsm]predicted levels!R22C5</stp>
        <tr r="E22" s="1"/>
      </tp>
      <tp t="s">
        <v>#N/A Connection</v>
        <stp/>
        <stp>##V3_BDPV12</stp>
        <stp>SCO13 Comdty</stp>
        <stp>BID</stp>
        <stp>[Predicted levels.xlsx (12)MYLES NEWEST EVER SPREADSHEET(1).xlsm]predicted levels!R21C4</stp>
        <tr r="D21" s="1"/>
      </tp>
      <tp t="s">
        <v>#N/A Connection</v>
        <stp/>
        <stp>##V3_BDPV12</stp>
        <stp>SCO5 Comdty</stp>
        <stp>BID</stp>
        <stp>[Predicted levels.xlsx (12)MYLES NEWEST EVER SPREADSHEET(1).xlsm]predicted levels!R13C4</stp>
        <tr r="D13" s="1"/>
      </tp>
      <tp t="s">
        <v>#N/A Connection</v>
        <stp/>
        <stp>##V3_BDPV12</stp>
        <stp>SCO2 Comdty</stp>
        <stp>ASK</stp>
        <stp>[Predicted levels.xlsx (12)MYLES NEWEST EVER SPREADSHEET(1).xlsm]predicted levels!R10C5</stp>
        <tr r="E10" s="1"/>
      </tp>
      <tp t="s">
        <v>#N/A Connection</v>
        <stp/>
        <stp>##V3_BDPV12</stp>
        <stp>SCO12 Comdty</stp>
        <stp>BID</stp>
        <stp>[Predicted levels.xlsx (12)MYLES NEWEST EVER SPREADSHEET(1).xlsm]predicted levels!R20C4</stp>
        <tr r="D20" s="1"/>
      </tp>
      <tp t="s">
        <v>#N/A Connection</v>
        <stp/>
        <stp>##V3_BDPV12</stp>
        <stp>SCO4 Comdty</stp>
        <stp>BID</stp>
        <stp>[Predicted levels.xlsx (12)MYLES NEWEST EVER SPREADSHEET(1).xlsm]predicted levels!R12C4</stp>
        <tr r="D12" s="1"/>
      </tp>
      <tp t="s">
        <v>#N/A Connection</v>
        <stp/>
        <stp>##V3_BDPV12</stp>
        <stp>SCO3 Comdty</stp>
        <stp>ASK</stp>
        <stp>[Predicted levels.xlsx (12)MYLES NEWEST EVER SPREADSHEET(1).xlsm]predicted levels!R11C5</stp>
        <tr r="E11" s="1"/>
      </tp>
      <tp t="s">
        <v>#N/A Connection</v>
        <stp/>
        <stp>##V3_BDPV12</stp>
        <stp>SCO13 Comdty</stp>
        <stp>ASK</stp>
        <stp>[Predicted levels.xlsx (12)MYLES NEWEST EVER SPREADSHEET(1).xlsm]predicted levels!R20C5</stp>
        <tr r="E20" s="1"/>
      </tp>
      <tp t="s">
        <v>#N/A Connection</v>
        <stp/>
        <stp>##V3_BDPV12</stp>
        <stp>SCO3 Comdty</stp>
        <stp>BID</stp>
        <stp>[Predicted levels.xlsx (12)MYLES NEWEST EVER SPREADSHEET(1).xlsm]predicted levels!R11C4</stp>
        <tr r="D11" s="1"/>
      </tp>
      <tp t="s">
        <v>#N/A Connection</v>
        <stp/>
        <stp>##V3_BDPV12</stp>
        <stp>SCO4 Comdty</stp>
        <stp>ASK</stp>
        <stp>[Predicted levels.xlsx (12)MYLES NEWEST EVER SPREADSHEET(1).xlsm]predicted levels!R12C5</stp>
        <tr r="E12" s="1"/>
      </tp>
      <tp t="s">
        <v>#N/A Connection</v>
        <stp/>
        <stp>##V3_BDPV12</stp>
        <stp>SCO14 Comdty</stp>
        <stp>ASK</stp>
        <stp>[Predicted levels.xlsx (12)MYLES NEWEST EVER SPREADSHEET(1).xlsm]predicted levels!R21C5</stp>
        <tr r="E21" s="1"/>
      </tp>
      <tp t="s">
        <v>#N/A Connection</v>
        <stp/>
        <stp>##V3_BDPV12</stp>
        <stp>SCO14 Comdty</stp>
        <stp>BID</stp>
        <stp>[Predicted levels.xlsx (12)MYLES NEWEST EVER SPREADSHEET(1).xlsm]predicted levels!R22C4</stp>
        <tr r="D22" s="1"/>
      </tp>
      <tp t="s">
        <v>#N/A Connection</v>
        <stp/>
        <stp>##V3_BDPV12</stp>
        <stp>SCO2 Comdty</stp>
        <stp>BID</stp>
        <stp>[Predicted levels.xlsx (12)MYLES NEWEST EVER SPREADSHEET(1).xlsm]predicted levels!R10C4</stp>
        <tr r="D10" s="1"/>
      </tp>
      <tp t="s">
        <v>#N/A Connection</v>
        <stp/>
        <stp>##V3_BDPV12</stp>
        <stp>SCO5 Comdty</stp>
        <stp>ASK</stp>
        <stp>[Predicted levels.xlsx (12)MYLES NEWEST EVER SPREADSHEET(1).xlsm]predicted levels!R13C5</stp>
        <tr r="E13" s="1"/>
      </tp>
      <tp t="s">
        <v>#N/A Connection</v>
        <stp/>
        <stp>##V3_BDPV12</stp>
        <stp>SCO9 Comdty</stp>
        <stp>BID</stp>
        <stp>[Predicted levels.xlsx (12)MYLES NEWEST EVER SPREADSHEET(1).xlsm]predicted levels!R17C4</stp>
        <tr r="D17" s="1"/>
      </tp>
      <tp t="s">
        <v>#N/A Connection</v>
        <stp/>
        <stp>##V3_BDPV12</stp>
        <stp>SCO6 Comdty</stp>
        <stp>ASK</stp>
        <stp>[Predicted levels.xlsx (12)MYLES NEWEST EVER SPREADSHEET(1).xlsm]predicted levels!R14C5</stp>
        <tr r="E14" s="1"/>
      </tp>
      <tp t="s">
        <v>#N/A Connection</v>
        <stp/>
        <stp>##V3_BDPV12</stp>
        <stp>SCO8 Comdty</stp>
        <stp>BID</stp>
        <stp>[Predicted levels.xlsx (12)MYLES NEWEST EVER SPREADSHEET(1).xlsm]predicted levels!R16C4</stp>
        <tr r="D16" s="1"/>
      </tp>
      <tp t="s">
        <v>#N/A Connection</v>
        <stp/>
        <stp>##V3_BDPV12</stp>
        <stp>SCO7 Comdty</stp>
        <stp>ASK</stp>
        <stp>[Predicted levels.xlsx (12)MYLES NEWEST EVER SPREADSHEET(1).xlsm]predicted levels!R15C5</stp>
        <tr r="E15" s="1"/>
      </tp>
      <tp t="s">
        <v>#N/A Connection</v>
        <stp/>
        <stp>##V3_BDPV12</stp>
        <stp>SCO7 Comdty</stp>
        <stp>BID</stp>
        <stp>[Predicted levels.xlsx (12)MYLES NEWEST EVER SPREADSHEET(1).xlsm]predicted levels!R15C4</stp>
        <tr r="D15" s="1"/>
      </tp>
      <tp t="s">
        <v>#N/A Connection</v>
        <stp/>
        <stp>##V3_BDPV12</stp>
        <stp>SCO8 Comdty</stp>
        <stp>ASK</stp>
        <stp>[Predicted levels.xlsx (12)MYLES NEWEST EVER SPREADSHEET(1).xlsm]predicted levels!R16C5</stp>
        <tr r="E16" s="1"/>
      </tp>
      <tp t="s">
        <v>#N/A Connection</v>
        <stp/>
        <stp>##V3_BDPV12</stp>
        <stp>SCO6 Comdty</stp>
        <stp>BID</stp>
        <stp>[Predicted levels.xlsx (12)MYLES NEWEST EVER SPREADSHEET(1).xlsm]predicted levels!R14C4</stp>
        <tr r="D14" s="1"/>
      </tp>
      <tp t="s">
        <v>#N/A Connection</v>
        <stp/>
        <stp>##V3_BDPV12</stp>
        <stp>SCO9 Comdty</stp>
        <stp>ASK</stp>
        <stp>[Predicted levels.xlsx (12)MYLES NEWEST EVER SPREADSHEET(1).xlsm]predicted levels!R17C5</stp>
        <tr r="E17" s="1"/>
      </tp>
      <tp t="s">
        <v>#N/A Connection</v>
        <stp/>
        <stp>##V3_BDPV12</stp>
        <stp>RBTA COMDTY</stp>
        <stp>PX_LAST</stp>
        <stp>[Predicted levels.xlsx (12)MYLES NEWEST EVER SPREADSHEET(1).xlsm]predicted levels!R42C19</stp>
        <stp>Fill</stp>
        <stp>B</stp>
        <tr r="S4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Indicies
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264672179606022E-2"/>
          <c:y val="0.22222289202019441"/>
          <c:w val="0.90882045967112135"/>
          <c:h val="0.4814829327104212"/>
        </c:manualLayout>
      </c:layout>
      <c:lineChart>
        <c:grouping val="standard"/>
        <c:varyColors val="0"/>
        <c:ser>
          <c:idx val="0"/>
          <c:order val="0"/>
          <c:tx>
            <c:strRef>
              <c:f>'Phys calcs'!$C$27</c:f>
              <c:strCache>
                <c:ptCount val="1"/>
                <c:pt idx="0">
                  <c:v>Mysteel 62%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'Phys calcs'!$B$28:$B$50</c:f>
              <c:numCache>
                <c:formatCode>m/d/yyyy</c:formatCode>
                <c:ptCount val="23"/>
                <c:pt idx="0">
                  <c:v>43435</c:v>
                </c:pt>
                <c:pt idx="1">
                  <c:v>43436</c:v>
                </c:pt>
                <c:pt idx="2">
                  <c:v>43438</c:v>
                </c:pt>
                <c:pt idx="3">
                  <c:v>43439</c:v>
                </c:pt>
                <c:pt idx="4">
                  <c:v>43440</c:v>
                </c:pt>
                <c:pt idx="5">
                  <c:v>43441</c:v>
                </c:pt>
                <c:pt idx="6">
                  <c:v>43444</c:v>
                </c:pt>
                <c:pt idx="7">
                  <c:v>43445</c:v>
                </c:pt>
                <c:pt idx="8">
                  <c:v>43446</c:v>
                </c:pt>
                <c:pt idx="9">
                  <c:v>43447</c:v>
                </c:pt>
                <c:pt idx="10">
                  <c:v>43448</c:v>
                </c:pt>
                <c:pt idx="11">
                  <c:v>43451</c:v>
                </c:pt>
                <c:pt idx="12">
                  <c:v>43452</c:v>
                </c:pt>
                <c:pt idx="13">
                  <c:v>43453</c:v>
                </c:pt>
                <c:pt idx="14">
                  <c:v>43454</c:v>
                </c:pt>
                <c:pt idx="15">
                  <c:v>43455</c:v>
                </c:pt>
                <c:pt idx="16">
                  <c:v>43458</c:v>
                </c:pt>
                <c:pt idx="17">
                  <c:v>43459</c:v>
                </c:pt>
                <c:pt idx="18">
                  <c:v>43460</c:v>
                </c:pt>
                <c:pt idx="19">
                  <c:v>43461</c:v>
                </c:pt>
                <c:pt idx="20">
                  <c:v>43462</c:v>
                </c:pt>
                <c:pt idx="21">
                  <c:v>43465</c:v>
                </c:pt>
              </c:numCache>
            </c:numRef>
          </c:cat>
          <c:val>
            <c:numRef>
              <c:f>'Phys calcs'!$C$28:$C$50</c:f>
              <c:numCache>
                <c:formatCode>0.00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F14-46D0-9B6C-4FD0E3B444C8}"/>
            </c:ext>
          </c:extLst>
        </c:ser>
        <c:ser>
          <c:idx val="1"/>
          <c:order val="1"/>
          <c:tx>
            <c:strRef>
              <c:f>'Phys calcs'!$D$27</c:f>
              <c:strCache>
                <c:ptCount val="1"/>
                <c:pt idx="0">
                  <c:v>Platts 62%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'Phys calcs'!$B$28:$B$50</c:f>
              <c:numCache>
                <c:formatCode>m/d/yyyy</c:formatCode>
                <c:ptCount val="23"/>
                <c:pt idx="0">
                  <c:v>43435</c:v>
                </c:pt>
                <c:pt idx="1">
                  <c:v>43436</c:v>
                </c:pt>
                <c:pt idx="2">
                  <c:v>43438</c:v>
                </c:pt>
                <c:pt idx="3">
                  <c:v>43439</c:v>
                </c:pt>
                <c:pt idx="4">
                  <c:v>43440</c:v>
                </c:pt>
                <c:pt idx="5">
                  <c:v>43441</c:v>
                </c:pt>
                <c:pt idx="6">
                  <c:v>43444</c:v>
                </c:pt>
                <c:pt idx="7">
                  <c:v>43445</c:v>
                </c:pt>
                <c:pt idx="8">
                  <c:v>43446</c:v>
                </c:pt>
                <c:pt idx="9">
                  <c:v>43447</c:v>
                </c:pt>
                <c:pt idx="10">
                  <c:v>43448</c:v>
                </c:pt>
                <c:pt idx="11">
                  <c:v>43451</c:v>
                </c:pt>
                <c:pt idx="12">
                  <c:v>43452</c:v>
                </c:pt>
                <c:pt idx="13">
                  <c:v>43453</c:v>
                </c:pt>
                <c:pt idx="14">
                  <c:v>43454</c:v>
                </c:pt>
                <c:pt idx="15">
                  <c:v>43455</c:v>
                </c:pt>
                <c:pt idx="16">
                  <c:v>43458</c:v>
                </c:pt>
                <c:pt idx="17">
                  <c:v>43459</c:v>
                </c:pt>
                <c:pt idx="18">
                  <c:v>43460</c:v>
                </c:pt>
                <c:pt idx="19">
                  <c:v>43461</c:v>
                </c:pt>
                <c:pt idx="20">
                  <c:v>43462</c:v>
                </c:pt>
                <c:pt idx="21">
                  <c:v>43465</c:v>
                </c:pt>
              </c:numCache>
            </c:numRef>
          </c:cat>
          <c:val>
            <c:numRef>
              <c:f>'Phys calcs'!$D$28:$D$50</c:f>
              <c:numCache>
                <c:formatCode>0.00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F14-46D0-9B6C-4FD0E3B444C8}"/>
            </c:ext>
          </c:extLst>
        </c:ser>
        <c:ser>
          <c:idx val="2"/>
          <c:order val="2"/>
          <c:tx>
            <c:strRef>
              <c:f>'Phys calcs'!$E$27</c:f>
              <c:strCache>
                <c:ptCount val="1"/>
                <c:pt idx="0">
                  <c:v>Platts LP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'Phys calcs'!$B$28:$B$50</c:f>
              <c:numCache>
                <c:formatCode>m/d/yyyy</c:formatCode>
                <c:ptCount val="23"/>
                <c:pt idx="0">
                  <c:v>43435</c:v>
                </c:pt>
                <c:pt idx="1">
                  <c:v>43436</c:v>
                </c:pt>
                <c:pt idx="2">
                  <c:v>43438</c:v>
                </c:pt>
                <c:pt idx="3">
                  <c:v>43439</c:v>
                </c:pt>
                <c:pt idx="4">
                  <c:v>43440</c:v>
                </c:pt>
                <c:pt idx="5">
                  <c:v>43441</c:v>
                </c:pt>
                <c:pt idx="6">
                  <c:v>43444</c:v>
                </c:pt>
                <c:pt idx="7">
                  <c:v>43445</c:v>
                </c:pt>
                <c:pt idx="8">
                  <c:v>43446</c:v>
                </c:pt>
                <c:pt idx="9">
                  <c:v>43447</c:v>
                </c:pt>
                <c:pt idx="10">
                  <c:v>43448</c:v>
                </c:pt>
                <c:pt idx="11">
                  <c:v>43451</c:v>
                </c:pt>
                <c:pt idx="12">
                  <c:v>43452</c:v>
                </c:pt>
                <c:pt idx="13">
                  <c:v>43453</c:v>
                </c:pt>
                <c:pt idx="14">
                  <c:v>43454</c:v>
                </c:pt>
                <c:pt idx="15">
                  <c:v>43455</c:v>
                </c:pt>
                <c:pt idx="16">
                  <c:v>43458</c:v>
                </c:pt>
                <c:pt idx="17">
                  <c:v>43459</c:v>
                </c:pt>
                <c:pt idx="18">
                  <c:v>43460</c:v>
                </c:pt>
                <c:pt idx="19">
                  <c:v>43461</c:v>
                </c:pt>
                <c:pt idx="20">
                  <c:v>43462</c:v>
                </c:pt>
                <c:pt idx="21">
                  <c:v>43465</c:v>
                </c:pt>
              </c:numCache>
            </c:numRef>
          </c:cat>
          <c:val>
            <c:numRef>
              <c:f>'Phys calcs'!$E$28:$E$50</c:f>
              <c:numCache>
                <c:formatCode>0.00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F14-46D0-9B6C-4FD0E3B44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462632"/>
        <c:axId val="840460672"/>
      </c:lineChart>
      <c:dateAx>
        <c:axId val="840462632"/>
        <c:scaling>
          <c:orientation val="minMax"/>
        </c:scaling>
        <c:delete val="0"/>
        <c:axPos val="b"/>
        <c:numFmt formatCode="dd/m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0460672"/>
        <c:crosses val="autoZero"/>
        <c:auto val="1"/>
        <c:lblOffset val="100"/>
        <c:baseTimeUnit val="days"/>
      </c:dateAx>
      <c:valAx>
        <c:axId val="84046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046263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/>
        <a:lstStyle/>
        <a:p>
          <a:pPr>
            <a:defRPr sz="69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7</xdr:row>
          <xdr:rowOff>38100</xdr:rowOff>
        </xdr:from>
        <xdr:to>
          <xdr:col>11</xdr:col>
          <xdr:colOff>38100</xdr:colOff>
          <xdr:row>9</xdr:row>
          <xdr:rowOff>0</xdr:rowOff>
        </xdr:to>
        <xdr:sp macro="" textlink="">
          <xdr:nvSpPr>
            <xdr:cNvPr id="40601349" name="Roll" hidden="1">
              <a:extLst>
                <a:ext uri="{63B3BB69-23CF-44E3-9099-C40C66FF867C}">
                  <a14:compatExt spid="_x0000_s40601349"/>
                </a:ext>
                <a:ext uri="{FF2B5EF4-FFF2-40B4-BE49-F238E27FC236}">
                  <a16:creationId xmlns="" xmlns:a16="http://schemas.microsoft.com/office/drawing/2014/main" id="{00000000-0008-0000-0000-000005876B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</xdr:row>
          <xdr:rowOff>0</xdr:rowOff>
        </xdr:from>
        <xdr:to>
          <xdr:col>10</xdr:col>
          <xdr:colOff>590550</xdr:colOff>
          <xdr:row>13</xdr:row>
          <xdr:rowOff>19050</xdr:rowOff>
        </xdr:to>
        <xdr:sp macro="" textlink="">
          <xdr:nvSpPr>
            <xdr:cNvPr id="40601351" name="SpinButton1" hidden="1">
              <a:extLst>
                <a:ext uri="{63B3BB69-23CF-44E3-9099-C40C66FF867C}">
                  <a14:compatExt spid="_x0000_s40601351"/>
                </a:ext>
                <a:ext uri="{FF2B5EF4-FFF2-40B4-BE49-F238E27FC236}">
                  <a16:creationId xmlns="" xmlns:a16="http://schemas.microsoft.com/office/drawing/2014/main" id="{00000000-0008-0000-0000-000007876B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83</xdr:row>
      <xdr:rowOff>119063</xdr:rowOff>
    </xdr:from>
    <xdr:to>
      <xdr:col>2</xdr:col>
      <xdr:colOff>714374</xdr:colOff>
      <xdr:row>86</xdr:row>
      <xdr:rowOff>35719</xdr:rowOff>
    </xdr:to>
    <xdr:pic>
      <xdr:nvPicPr>
        <xdr:cNvPr id="4" name="Picture 3" descr="473258961657341479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00" t="21700" r="9105" b="22243"/>
        <a:stretch>
          <a:fillRect/>
        </a:stretch>
      </xdr:blipFill>
      <xdr:spPr bwMode="auto">
        <a:xfrm>
          <a:off x="71438" y="15656719"/>
          <a:ext cx="1714499" cy="50006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53</xdr:row>
      <xdr:rowOff>38100</xdr:rowOff>
    </xdr:from>
    <xdr:to>
      <xdr:col>5</xdr:col>
      <xdr:colOff>1428750</xdr:colOff>
      <xdr:row>69</xdr:row>
      <xdr:rowOff>57150</xdr:rowOff>
    </xdr:to>
    <xdr:graphicFrame macro="">
      <xdr:nvGraphicFramePr>
        <xdr:cNvPr id="41506835" name="Chart 1">
          <a:extLst>
            <a:ext uri="{FF2B5EF4-FFF2-40B4-BE49-F238E27FC236}">
              <a16:creationId xmlns="" xmlns:a16="http://schemas.microsoft.com/office/drawing/2014/main" id="{00000000-0008-0000-0100-0000135879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rinterSettings" Target="../printerSettings/printerSettings3.bin"/><Relationship Id="rId7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2.xml"/><Relationship Id="rId4" Type="http://schemas.openxmlformats.org/officeDocument/2006/relationships/hyperlink" Target="https://mbs.mysteelcms.com/status/futures_list.htm" TargetMode="External"/><Relationship Id="rId9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CD234"/>
  <sheetViews>
    <sheetView showGridLines="0" tabSelected="1" topLeftCell="F4" zoomScale="80" zoomScaleNormal="80" workbookViewId="0">
      <selection activeCell="J11" sqref="J11"/>
    </sheetView>
  </sheetViews>
  <sheetFormatPr defaultRowHeight="15" x14ac:dyDescent="0.25"/>
  <cols>
    <col min="1" max="1" width="0.28515625" style="67" customWidth="1"/>
    <col min="2" max="2" width="15.7109375" style="64" customWidth="1"/>
    <col min="3" max="3" width="11.140625" style="65" customWidth="1"/>
    <col min="4" max="4" width="11.28515625" style="65" bestFit="1" customWidth="1"/>
    <col min="5" max="5" width="11.28515625" style="120" bestFit="1" customWidth="1"/>
    <col min="6" max="6" width="1.140625" style="123" customWidth="1"/>
    <col min="7" max="7" width="0.85546875" style="123" customWidth="1"/>
    <col min="8" max="8" width="12.42578125" style="113" customWidth="1"/>
    <col min="9" max="9" width="10.7109375" style="118" customWidth="1"/>
    <col min="10" max="10" width="10" style="73" customWidth="1"/>
    <col min="11" max="11" width="9.42578125" style="125" customWidth="1"/>
    <col min="12" max="12" width="1.140625" style="189" customWidth="1"/>
    <col min="13" max="13" width="16" style="134" bestFit="1" customWidth="1"/>
    <col min="14" max="14" width="20.85546875" style="126" bestFit="1" customWidth="1"/>
    <col min="15" max="15" width="1.5703125" style="551" customWidth="1"/>
    <col min="16" max="16" width="1.7109375" style="533" customWidth="1"/>
    <col min="17" max="17" width="1" style="533" customWidth="1"/>
    <col min="18" max="18" width="24.85546875" style="62" customWidth="1"/>
    <col min="19" max="19" width="11.7109375" style="62" bestFit="1" customWidth="1"/>
    <col min="20" max="20" width="1.140625" style="171" customWidth="1"/>
    <col min="21" max="21" width="12.42578125" style="113" customWidth="1"/>
    <col min="22" max="22" width="10.7109375" style="118" customWidth="1"/>
    <col min="23" max="23" width="10" style="75" customWidth="1"/>
    <col min="24" max="24" width="9.42578125" style="125" customWidth="1"/>
    <col min="25" max="25" width="1.140625" style="189" customWidth="1"/>
    <col min="26" max="26" width="16" style="134" bestFit="1" customWidth="1"/>
    <col min="27" max="27" width="20.85546875" style="126" bestFit="1" customWidth="1"/>
    <col min="28" max="28" width="1.28515625" style="67" customWidth="1"/>
    <col min="29" max="29" width="10.7109375" style="67" customWidth="1"/>
    <col min="30" max="30" width="13.28515625" style="62" bestFit="1" customWidth="1"/>
    <col min="31" max="31" width="11.42578125" style="62" customWidth="1"/>
    <col min="32" max="32" width="3.28515625" style="62" customWidth="1"/>
    <col min="33" max="34" width="9.140625" style="62" bestFit="1" customWidth="1"/>
    <col min="35" max="35" width="28.5703125" style="62" bestFit="1" customWidth="1"/>
    <col min="36" max="36" width="18.42578125" style="62" bestFit="1" customWidth="1"/>
    <col min="37" max="37" width="5.7109375" style="62" customWidth="1"/>
    <col min="38" max="38" width="15.28515625" style="62" customWidth="1"/>
    <col min="39" max="39" width="9.140625" style="62" bestFit="1"/>
    <col min="40" max="63" width="9.140625" style="62"/>
    <col min="64" max="64" width="3.7109375" style="62" customWidth="1"/>
    <col min="65" max="65" width="12.5703125" style="62" customWidth="1"/>
    <col min="66" max="67" width="9.140625" style="62"/>
    <col min="68" max="68" width="16" style="62" customWidth="1"/>
    <col min="69" max="70" width="9.140625" style="62"/>
    <col min="71" max="71" width="14.140625" style="62" customWidth="1"/>
    <col min="72" max="73" width="9.140625" style="62"/>
    <col min="74" max="74" width="11.7109375" style="62" customWidth="1"/>
    <col min="75" max="81" width="9.140625" style="62"/>
    <col min="82" max="82" width="4" style="62" customWidth="1"/>
    <col min="83" max="16384" width="9.140625" style="62"/>
  </cols>
  <sheetData>
    <row r="1" spans="2:82" ht="15.75" hidden="1" thickBot="1" x14ac:dyDescent="0.3">
      <c r="B1" s="65"/>
      <c r="H1" s="111"/>
      <c r="I1" s="116"/>
      <c r="J1" s="452">
        <f>('Steel FOB Calc'!D6*50)</f>
        <v>0</v>
      </c>
      <c r="N1" s="189"/>
      <c r="P1" s="569"/>
      <c r="Q1" s="569"/>
      <c r="R1" s="569"/>
      <c r="S1" s="569"/>
      <c r="T1" s="534"/>
      <c r="U1" s="111"/>
      <c r="V1" s="116"/>
      <c r="W1" s="114">
        <f>('Steel FOB Calc'!P6*50)</f>
        <v>0</v>
      </c>
      <c r="AB1" s="74"/>
      <c r="AN1" s="484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AY1" s="485"/>
      <c r="AZ1" s="485"/>
      <c r="BA1" s="485"/>
      <c r="BB1" s="485"/>
      <c r="BC1" s="485"/>
      <c r="BD1" s="486"/>
    </row>
    <row r="2" spans="2:82" ht="15.75" hidden="1" thickBot="1" x14ac:dyDescent="0.3">
      <c r="B2" s="68"/>
      <c r="C2" s="68"/>
      <c r="D2" s="68"/>
      <c r="E2" s="121"/>
      <c r="G2" s="223"/>
      <c r="H2" s="112"/>
      <c r="I2" s="117"/>
      <c r="J2" s="453"/>
      <c r="K2" s="127" t="s">
        <v>0</v>
      </c>
      <c r="L2" s="191"/>
      <c r="M2" s="135"/>
      <c r="N2" s="191"/>
      <c r="O2" s="570"/>
      <c r="P2" s="571"/>
      <c r="Q2" s="571"/>
      <c r="R2" s="571"/>
      <c r="S2" s="571"/>
      <c r="T2" s="572"/>
      <c r="U2" s="112"/>
      <c r="V2" s="117"/>
      <c r="W2" s="115"/>
      <c r="X2" s="127" t="s">
        <v>0</v>
      </c>
      <c r="Y2" s="191"/>
      <c r="Z2" s="135"/>
      <c r="AA2" s="128"/>
      <c r="AB2" s="74"/>
      <c r="AN2" s="487"/>
      <c r="BD2" s="488"/>
    </row>
    <row r="3" spans="2:82" ht="15.75" hidden="1" thickBot="1" x14ac:dyDescent="0.3">
      <c r="N3" s="189"/>
      <c r="R3" s="549"/>
      <c r="S3" s="549"/>
      <c r="T3" s="533"/>
      <c r="AN3" s="487"/>
      <c r="BD3" s="488"/>
    </row>
    <row r="4" spans="2:82" s="67" customFormat="1" ht="1.5" customHeight="1" x14ac:dyDescent="0.25">
      <c r="B4" s="266"/>
      <c r="C4" s="181"/>
      <c r="D4" s="181"/>
      <c r="E4" s="267" t="s">
        <v>1</v>
      </c>
      <c r="F4" s="181"/>
      <c r="G4" s="181"/>
      <c r="H4" s="268"/>
      <c r="I4" s="269"/>
      <c r="J4" s="179"/>
      <c r="K4" s="183"/>
      <c r="L4" s="183"/>
      <c r="M4" s="182"/>
      <c r="N4" s="183"/>
      <c r="O4" s="568"/>
      <c r="P4" s="534"/>
      <c r="Q4" s="534"/>
      <c r="R4" s="549"/>
      <c r="S4" s="549"/>
      <c r="T4" s="533"/>
      <c r="U4" s="268"/>
      <c r="V4" s="269"/>
      <c r="W4" s="270"/>
      <c r="X4" s="183"/>
      <c r="Y4" s="183"/>
      <c r="Z4" s="182"/>
      <c r="AA4" s="183"/>
      <c r="AD4" s="271"/>
      <c r="AE4" s="272"/>
      <c r="AF4" s="272"/>
      <c r="AG4" s="272"/>
      <c r="AH4" s="272"/>
      <c r="AI4" s="272"/>
      <c r="AJ4" s="272"/>
      <c r="AK4" s="272"/>
      <c r="AL4" s="273"/>
      <c r="AN4" s="186"/>
      <c r="BD4" s="187"/>
    </row>
    <row r="5" spans="2:82" ht="0.75" customHeight="1" thickBot="1" x14ac:dyDescent="0.3">
      <c r="B5" s="69"/>
      <c r="C5" s="296"/>
      <c r="D5" s="296"/>
      <c r="E5" s="122"/>
      <c r="F5" s="181"/>
      <c r="G5" s="181"/>
      <c r="J5" s="71"/>
      <c r="K5" s="188"/>
      <c r="L5" s="183"/>
      <c r="M5" s="136"/>
      <c r="N5" s="183"/>
      <c r="O5" s="568"/>
      <c r="P5" s="534"/>
      <c r="Q5" s="534"/>
      <c r="R5" s="549"/>
      <c r="S5" s="549"/>
      <c r="T5" s="533"/>
      <c r="W5" s="110"/>
      <c r="X5" s="188"/>
      <c r="Y5" s="183"/>
      <c r="Z5" s="136"/>
      <c r="AA5" s="129"/>
      <c r="AD5" s="88"/>
      <c r="AE5" s="109"/>
      <c r="AF5" s="109"/>
      <c r="AG5" s="109"/>
      <c r="AH5" s="109"/>
      <c r="AI5" s="109"/>
      <c r="AJ5" s="109"/>
      <c r="AK5" s="109"/>
      <c r="AL5" s="105"/>
      <c r="AN5" s="487"/>
      <c r="BD5" s="488"/>
      <c r="BS5" s="63"/>
    </row>
    <row r="6" spans="2:82" s="124" customFormat="1" ht="17.25" customHeight="1" thickBot="1" x14ac:dyDescent="0.3">
      <c r="B6" s="263"/>
      <c r="C6" s="310" t="s">
        <v>172</v>
      </c>
      <c r="D6" s="81"/>
      <c r="E6" s="171"/>
      <c r="F6" s="171"/>
      <c r="G6" s="171"/>
      <c r="H6" s="278" t="s">
        <v>59</v>
      </c>
      <c r="I6" s="226"/>
      <c r="J6" s="183"/>
      <c r="K6" s="183"/>
      <c r="L6" s="185"/>
      <c r="M6" s="184"/>
      <c r="N6" s="185"/>
      <c r="O6" s="564"/>
      <c r="P6" s="565"/>
      <c r="Q6" s="565"/>
      <c r="R6" s="566"/>
      <c r="S6" s="566"/>
      <c r="T6" s="567"/>
      <c r="U6" s="550" t="s">
        <v>265</v>
      </c>
      <c r="V6" s="226"/>
      <c r="W6" s="227"/>
      <c r="X6" s="183"/>
      <c r="Y6" s="185"/>
      <c r="Z6" s="184"/>
      <c r="AA6" s="185"/>
      <c r="AD6" s="264"/>
      <c r="AL6" s="265"/>
      <c r="AN6" s="491"/>
      <c r="AO6" s="492"/>
      <c r="AP6" s="492"/>
      <c r="AQ6" s="492"/>
      <c r="AR6" s="492"/>
      <c r="AS6" s="492"/>
      <c r="AT6" s="492"/>
      <c r="AU6" s="492"/>
      <c r="AV6" s="492"/>
      <c r="AW6" s="492"/>
      <c r="AX6" s="492"/>
      <c r="AY6" s="492"/>
      <c r="AZ6" s="492"/>
      <c r="BA6" s="492"/>
      <c r="BB6" s="492"/>
      <c r="BC6" s="492"/>
      <c r="BD6" s="492"/>
      <c r="BE6" s="493"/>
      <c r="BS6" s="172"/>
    </row>
    <row r="7" spans="2:82" s="67" customFormat="1" ht="3" customHeight="1" thickBot="1" x14ac:dyDescent="0.3">
      <c r="B7" s="276" t="s">
        <v>139</v>
      </c>
      <c r="C7" s="276" t="s">
        <v>140</v>
      </c>
      <c r="D7" s="276" t="s">
        <v>13</v>
      </c>
      <c r="E7" s="276" t="s">
        <v>141</v>
      </c>
      <c r="F7" s="276" t="s">
        <v>140</v>
      </c>
      <c r="G7" s="276"/>
      <c r="H7" s="225"/>
      <c r="I7" s="226"/>
      <c r="J7" s="183"/>
      <c r="K7" s="183"/>
      <c r="L7" s="183"/>
      <c r="M7" s="182"/>
      <c r="N7" s="183"/>
      <c r="O7" s="568"/>
      <c r="P7" s="534"/>
      <c r="Q7" s="534"/>
      <c r="R7" s="549"/>
      <c r="S7" s="549"/>
      <c r="T7" s="533"/>
      <c r="U7" s="225"/>
      <c r="V7" s="226"/>
      <c r="W7" s="227"/>
      <c r="X7" s="183"/>
      <c r="Y7" s="183"/>
      <c r="Z7" s="182"/>
      <c r="AA7" s="183"/>
      <c r="AD7" s="186"/>
      <c r="AL7" s="187"/>
      <c r="AN7" s="186"/>
      <c r="BE7" s="187"/>
      <c r="BS7" s="171">
        <f>J26</f>
        <v>71.249999999999943</v>
      </c>
    </row>
    <row r="8" spans="2:82" ht="15.75" thickBot="1" x14ac:dyDescent="0.3">
      <c r="B8" s="420"/>
      <c r="C8" s="437"/>
      <c r="D8" s="421"/>
      <c r="E8" s="422"/>
      <c r="G8" s="277"/>
      <c r="H8" s="383" t="s">
        <v>264</v>
      </c>
      <c r="I8" s="306" t="s">
        <v>3</v>
      </c>
      <c r="J8" s="307" t="str">
        <f>_xll.BDP("IOEA COMDTY", "LAST_TRADE", "Fill", "B")</f>
        <v>#N/A Connection</v>
      </c>
      <c r="K8" s="189"/>
      <c r="M8" s="137" t="s">
        <v>2</v>
      </c>
      <c r="N8" s="130" t="s">
        <v>4</v>
      </c>
      <c r="O8" s="552"/>
      <c r="P8" s="535"/>
      <c r="Q8" s="535"/>
      <c r="R8" s="545" t="s">
        <v>267</v>
      </c>
      <c r="S8" s="546" t="s">
        <v>4</v>
      </c>
      <c r="T8" s="540"/>
      <c r="U8" s="383" t="s">
        <v>266</v>
      </c>
      <c r="V8" s="306" t="s">
        <v>3</v>
      </c>
      <c r="W8" s="307" t="str">
        <f>_xll.BDP("IOEA COMDTY", "LAST_TRADE", "Fill", "B")</f>
        <v>#N/A Connection</v>
      </c>
      <c r="X8" s="189"/>
      <c r="Z8" s="516"/>
      <c r="AA8" s="189"/>
      <c r="AB8" s="76"/>
      <c r="AD8" s="88"/>
      <c r="AE8" s="89"/>
      <c r="AF8" s="89"/>
      <c r="AG8" s="89"/>
      <c r="AH8" s="89"/>
      <c r="AI8" s="89" t="s">
        <v>8</v>
      </c>
      <c r="AJ8" s="89"/>
      <c r="AK8" s="89"/>
      <c r="AL8" s="105"/>
      <c r="AN8" s="88" t="s">
        <v>288</v>
      </c>
      <c r="AO8" s="109" t="s">
        <v>288</v>
      </c>
      <c r="AP8" s="109"/>
      <c r="AQ8" s="109"/>
      <c r="AR8" s="109"/>
      <c r="AS8" s="109"/>
      <c r="AT8" s="109"/>
      <c r="AU8" s="109"/>
      <c r="AV8" s="109"/>
      <c r="AW8" s="109"/>
      <c r="AX8" s="490" t="str">
        <f>RIGHT(H9,2)</f>
        <v>19</v>
      </c>
      <c r="AY8" s="109"/>
      <c r="AZ8" s="109"/>
      <c r="BA8" s="109"/>
      <c r="BB8" s="109"/>
      <c r="BC8" s="490"/>
      <c r="BD8" s="109"/>
      <c r="BE8" s="105"/>
      <c r="BL8" s="367"/>
      <c r="BM8" s="648" t="s">
        <v>262</v>
      </c>
      <c r="BN8" s="648"/>
      <c r="BO8" s="648"/>
      <c r="BP8" s="648"/>
      <c r="BQ8" s="648"/>
      <c r="BR8" s="648"/>
      <c r="BS8" s="648"/>
      <c r="BT8" s="648"/>
      <c r="BU8" s="648"/>
      <c r="BV8" s="648"/>
      <c r="BW8" s="648"/>
      <c r="BX8" s="648"/>
      <c r="BY8" s="648"/>
      <c r="BZ8" s="648"/>
      <c r="CA8" s="648"/>
      <c r="CB8" s="648"/>
      <c r="CC8" s="648"/>
      <c r="CD8" s="367"/>
    </row>
    <row r="9" spans="2:82" ht="17.25" x14ac:dyDescent="0.3">
      <c r="B9" s="494" t="str">
        <f>"Nov"</f>
        <v>Nov</v>
      </c>
      <c r="C9" s="419" t="e">
        <f t="shared" ref="C9:C16" si="0">AVERAGE(D9:E9)</f>
        <v>#DIV/0!</v>
      </c>
      <c r="D9" s="423" t="str">
        <f>_xll.BDP("SCO1 Comdty","BID")</f>
        <v>#N/A Connection</v>
      </c>
      <c r="E9" s="406" t="str">
        <f>_xll.BDP("SCO1 Comdty","ASK")</f>
        <v>#N/A Connection</v>
      </c>
      <c r="F9" s="308"/>
      <c r="G9" s="277"/>
      <c r="H9" s="471" t="s">
        <v>299</v>
      </c>
      <c r="I9" s="430"/>
      <c r="J9" s="454">
        <v>92.599999999999937</v>
      </c>
      <c r="K9" s="189" t="s">
        <v>64</v>
      </c>
      <c r="M9" s="478" t="str">
        <f>CONCATENATE(LEFT($H$9,3),"/",INDEX($AP$9:$AP$21,MATCH(LEFT($H$9,3),$AO$9:$AO$21,0)))</f>
        <v>Dec/Jan</v>
      </c>
      <c r="N9" s="337">
        <f>($J$9-$J$10)</f>
        <v>1.5</v>
      </c>
      <c r="O9" s="553"/>
      <c r="P9" s="536"/>
      <c r="Q9" s="536"/>
      <c r="R9" s="530" t="str">
        <f>H9</f>
        <v>Dec 19</v>
      </c>
      <c r="S9" s="557">
        <v>10.9</v>
      </c>
      <c r="T9" s="540"/>
      <c r="U9" s="573" t="str">
        <f>H9</f>
        <v>Dec 19</v>
      </c>
      <c r="V9" s="229"/>
      <c r="W9" s="574">
        <f>J9+S9</f>
        <v>103.49999999999994</v>
      </c>
      <c r="X9" s="189"/>
      <c r="Z9" s="516"/>
      <c r="AA9" s="189"/>
      <c r="AB9" s="76"/>
      <c r="AC9" s="517"/>
      <c r="AD9" s="88" t="s">
        <v>15</v>
      </c>
      <c r="AE9" s="109"/>
      <c r="AF9" s="89"/>
      <c r="AG9" s="90" t="s">
        <v>16</v>
      </c>
      <c r="AH9" s="91"/>
      <c r="AI9" s="109"/>
      <c r="AJ9" s="109"/>
      <c r="AK9" s="89"/>
      <c r="AL9" s="105"/>
      <c r="AN9" s="480" t="s">
        <v>15</v>
      </c>
      <c r="AO9" s="94" t="s">
        <v>15</v>
      </c>
      <c r="AP9" s="94" t="s">
        <v>292</v>
      </c>
      <c r="AQ9" s="94" t="s">
        <v>293</v>
      </c>
      <c r="AR9" s="94" t="s">
        <v>294</v>
      </c>
      <c r="AS9" s="94" t="s">
        <v>307</v>
      </c>
      <c r="AT9" s="94" t="s">
        <v>308</v>
      </c>
      <c r="AU9" s="94" t="s">
        <v>309</v>
      </c>
      <c r="AV9" s="94" t="s">
        <v>310</v>
      </c>
      <c r="AW9" s="94" t="s">
        <v>311</v>
      </c>
      <c r="AX9" s="94" t="s">
        <v>39</v>
      </c>
      <c r="AY9" s="94" t="s">
        <v>295</v>
      </c>
      <c r="AZ9" s="94" t="s">
        <v>296</v>
      </c>
      <c r="BA9" s="94" t="s">
        <v>297</v>
      </c>
      <c r="BB9" s="94" t="s">
        <v>305</v>
      </c>
      <c r="BC9" s="94" t="s">
        <v>23</v>
      </c>
      <c r="BD9" s="94" t="s">
        <v>298</v>
      </c>
      <c r="BE9" s="481" t="s">
        <v>306</v>
      </c>
      <c r="BL9" s="378"/>
      <c r="BM9" s="379" t="s">
        <v>184</v>
      </c>
      <c r="BN9" s="368"/>
      <c r="BO9" s="368"/>
      <c r="BP9" s="369"/>
      <c r="BQ9" s="369"/>
      <c r="BR9" s="368"/>
      <c r="BS9" s="369"/>
      <c r="BT9" s="369"/>
      <c r="BU9" s="368"/>
      <c r="BV9" s="369"/>
      <c r="BW9" s="380"/>
      <c r="BX9" s="339" t="s">
        <v>258</v>
      </c>
      <c r="BY9" s="339"/>
      <c r="BZ9" s="356"/>
      <c r="CA9" s="357" t="s">
        <v>259</v>
      </c>
      <c r="CB9" s="357"/>
      <c r="CC9" s="358"/>
      <c r="CD9" s="367"/>
    </row>
    <row r="10" spans="2:82" ht="17.25" x14ac:dyDescent="0.3">
      <c r="B10" s="494" t="str">
        <f>TEXT(EOMONTH(DATEVALUE(LEFT($H$9,3)&amp;" 1, 2020"),1),"mmm")</f>
        <v>Jan</v>
      </c>
      <c r="C10" s="419" t="e">
        <f>AVERAGE(D10:E10)</f>
        <v>#DIV/0!</v>
      </c>
      <c r="D10" s="423" t="str">
        <f>_xll.BDP("SCO2 Comdty","BID")</f>
        <v>#N/A Connection</v>
      </c>
      <c r="E10" s="406" t="str">
        <f>_xll.BDP("SCO2 Comdty","ASK")</f>
        <v>#N/A Connection</v>
      </c>
      <c r="F10" s="308"/>
      <c r="G10" s="277"/>
      <c r="H10" s="471" t="s">
        <v>300</v>
      </c>
      <c r="I10" s="229"/>
      <c r="J10" s="454">
        <v>91.099999999999937</v>
      </c>
      <c r="K10" s="556">
        <v>0.05</v>
      </c>
      <c r="M10" s="477" t="str">
        <f>CONCATENATE(LEFT($H$9,3),"/",INDEX($AQ$9:$AQ$21,MATCH(LEFT($H$9,3),$AO$9:$AO$21,0)))</f>
        <v>Dec/Feb</v>
      </c>
      <c r="N10" s="131">
        <f>($J$9-$J$11)</f>
        <v>2.5499999999999972</v>
      </c>
      <c r="O10" s="553"/>
      <c r="P10" s="537"/>
      <c r="Q10" s="537"/>
      <c r="R10" s="531" t="str">
        <f>H10</f>
        <v>Jan 20</v>
      </c>
      <c r="S10" s="558">
        <v>11.45</v>
      </c>
      <c r="T10" s="560"/>
      <c r="U10" s="573" t="str">
        <f>H10</f>
        <v>Jan 20</v>
      </c>
      <c r="V10" s="229"/>
      <c r="W10" s="574">
        <f>J10+S10</f>
        <v>102.54999999999994</v>
      </c>
      <c r="X10" s="189"/>
      <c r="Z10" s="516"/>
      <c r="AA10" s="189"/>
      <c r="AB10" s="76"/>
      <c r="AC10" s="81"/>
      <c r="AD10" s="88"/>
      <c r="AE10" s="89" t="e">
        <f>"CN62_"&amp;VLOOKUP(LEFT(#REF!,3),$AG$9:$AH$21,2,FALSE)&amp;RIGHT(#REF!,2)</f>
        <v>#REF!</v>
      </c>
      <c r="AF10" s="89"/>
      <c r="AG10" s="90" t="s">
        <v>17</v>
      </c>
      <c r="AH10" s="90" t="s">
        <v>18</v>
      </c>
      <c r="AI10" s="89" t="e">
        <f ca="1">PLContribFull(#REF!,"BID",AE10,"SLOT41","TICKER",2)</f>
        <v>#NAME?</v>
      </c>
      <c r="AJ10" s="89" t="e">
        <f ca="1">PLContribFull($E47,"ASK",AE10,"SLOT41","TICKER",2)</f>
        <v>#NAME?</v>
      </c>
      <c r="AK10" s="89"/>
      <c r="AL10" s="105"/>
      <c r="AN10" s="587">
        <v>1</v>
      </c>
      <c r="AO10" s="588" t="s">
        <v>76</v>
      </c>
      <c r="AP10" s="588" t="s">
        <v>77</v>
      </c>
      <c r="AQ10" s="588" t="s">
        <v>78</v>
      </c>
      <c r="AR10" s="588" t="s">
        <v>10</v>
      </c>
      <c r="AS10" s="588" t="s">
        <v>182</v>
      </c>
      <c r="AT10" s="588" t="s">
        <v>289</v>
      </c>
      <c r="AU10" s="588" t="s">
        <v>290</v>
      </c>
      <c r="AV10" s="588" t="s">
        <v>183</v>
      </c>
      <c r="AW10" s="588" t="s">
        <v>291</v>
      </c>
      <c r="AX10" s="588" t="str">
        <f>CONCATENATE("Q1'",$AX$8 + IF($AN$10&lt;MONTH(--(LEFT($H$9,3)&amp;" 1, 2017")),1,0))</f>
        <v>Q1'20</v>
      </c>
      <c r="AY10" s="588" t="str">
        <f>CONCATENATE("Q2'",$AX$8 + IF($AN$10&lt;MONTH(--(LEFT($H$9,3)&amp;" 1, 2017")),1,0))</f>
        <v>Q2'20</v>
      </c>
      <c r="AZ10" s="588" t="str">
        <f>CONCATENATE("Q3'",$AX$8 + IF($AN$10&lt;MONTH(--(LEFT($H$9,3)&amp;" 1, 2017")),1,0))</f>
        <v>Q3'20</v>
      </c>
      <c r="BA10" s="588" t="str">
        <f>CONCATENATE("Q4'",$AX$8 + IF($AN$10&lt;MONTH(--(LEFT($H$9,3)&amp;" 1, 2017")),1,0))</f>
        <v>Q4'20</v>
      </c>
      <c r="BB10" s="588" t="str">
        <f>CONCATENATE("Q1'",$AX$8 + 1+IF($AN$10&lt;MONTH(--(LEFT($H$9,3)&amp;" 1, 2017")),1,0))</f>
        <v>Q1'21</v>
      </c>
      <c r="BC10" s="588" t="str">
        <f>CONCATENATE("1H'",$AX$8 + IF($AN$10&lt;MONTH(--(LEFT($H$9,3)&amp;" 1, 2017")),1,0))</f>
        <v>1H'20</v>
      </c>
      <c r="BD10" s="588" t="str">
        <f>CONCATENATE("Cal",$AX$8 + IF($AN$10&lt;MONTH(--(LEFT($H$9,3)&amp;" 1, 2017")),1,0))</f>
        <v>Cal20</v>
      </c>
      <c r="BE10" s="589" t="str">
        <f>CONCATENATE("Cal",$AX$8 + 1+IF($AN$10&lt;MONTH(--(LEFT($H$9,3)&amp;" 1, 2017")),1,0))</f>
        <v>Cal21</v>
      </c>
      <c r="BL10" s="367"/>
      <c r="BM10" s="340" t="s">
        <v>160</v>
      </c>
      <c r="BN10" s="350"/>
      <c r="BO10" s="353"/>
      <c r="BP10" s="340" t="s">
        <v>72</v>
      </c>
      <c r="BQ10" s="350"/>
      <c r="BR10" s="353"/>
      <c r="BS10" s="343" t="s">
        <v>52</v>
      </c>
      <c r="BT10" s="350"/>
      <c r="BU10" s="353"/>
      <c r="BV10" s="341" t="s">
        <v>185</v>
      </c>
      <c r="BW10" s="342">
        <v>22</v>
      </c>
      <c r="BX10" s="398">
        <v>5</v>
      </c>
      <c r="BY10" s="398">
        <v>5</v>
      </c>
      <c r="BZ10" s="398">
        <v>5</v>
      </c>
      <c r="CA10" s="398">
        <v>5</v>
      </c>
      <c r="CB10" s="398">
        <v>5</v>
      </c>
      <c r="CC10" s="398">
        <v>5</v>
      </c>
      <c r="CD10" s="367"/>
    </row>
    <row r="11" spans="2:82" ht="17.25" x14ac:dyDescent="0.3">
      <c r="B11" s="494" t="str">
        <f>TEXT(EOMONTH(DATEVALUE(LEFT($H$9,3)&amp;" 1, 2020"),2),"mmm")</f>
        <v>Feb</v>
      </c>
      <c r="C11" s="419" t="e">
        <f>AVERAGE(D11:E11)</f>
        <v>#DIV/0!</v>
      </c>
      <c r="D11" s="423" t="str">
        <f>_xll.BDP("SCO3 Comdty","BID")</f>
        <v>#N/A Connection</v>
      </c>
      <c r="E11" s="406" t="str">
        <f>_xll.BDP("SCO3 Comdty","ASK")</f>
        <v>#N/A Connection</v>
      </c>
      <c r="F11" s="308"/>
      <c r="G11" s="277"/>
      <c r="H11" s="471" t="s">
        <v>301</v>
      </c>
      <c r="I11" s="229"/>
      <c r="J11" s="454">
        <v>90.04999999999994</v>
      </c>
      <c r="K11" s="189"/>
      <c r="M11" s="477" t="str">
        <f>CONCATENATE(LEFT($H$9,3),"/",INDEX($AR$9:$AR$21,MATCH(LEFT($H$9,3),$AO$9:$AO$21,0)))</f>
        <v>Dec/Mar</v>
      </c>
      <c r="N11" s="131">
        <f>($J$9-$J$12)</f>
        <v>3.7999999999999972</v>
      </c>
      <c r="O11" s="553"/>
      <c r="P11" s="537" t="s">
        <v>64</v>
      </c>
      <c r="Q11" s="537"/>
      <c r="R11" s="531" t="str">
        <f>H11</f>
        <v>Feb 20</v>
      </c>
      <c r="S11" s="558">
        <v>12.3</v>
      </c>
      <c r="T11" s="533"/>
      <c r="U11" s="573" t="str">
        <f>H11</f>
        <v>Feb 20</v>
      </c>
      <c r="V11" s="229"/>
      <c r="W11" s="574">
        <f>J11+S11</f>
        <v>102.34999999999994</v>
      </c>
      <c r="X11" s="189"/>
      <c r="Z11" s="516"/>
      <c r="AA11" s="189"/>
      <c r="AB11" s="78"/>
      <c r="AC11" s="81"/>
      <c r="AD11" s="88"/>
      <c r="AE11" s="109" t="e">
        <f>"CN62_"&amp;VLOOKUP(LEFT(#REF!,3),$AG$9:$AH$21,2,FALSE)&amp;RIGHT(#REF!,2)</f>
        <v>#REF!</v>
      </c>
      <c r="AF11" s="89"/>
      <c r="AG11" s="90" t="s">
        <v>19</v>
      </c>
      <c r="AH11" s="90" t="s">
        <v>20</v>
      </c>
      <c r="AI11" s="109" t="e">
        <f ca="1">PLContribFull(#REF!,"BID",AE11,"SLOT41","TICKER",2)</f>
        <v>#NAME?</v>
      </c>
      <c r="AJ11" s="109" t="e">
        <f ca="1">PLContribFull($E48,"ASK",AE11,"SLOT41","TICKER",2)</f>
        <v>#NAME?</v>
      </c>
      <c r="AK11" s="89"/>
      <c r="AL11" s="105"/>
      <c r="AN11" s="587">
        <v>2</v>
      </c>
      <c r="AO11" s="588" t="s">
        <v>77</v>
      </c>
      <c r="AP11" s="588" t="s">
        <v>78</v>
      </c>
      <c r="AQ11" s="588" t="s">
        <v>10</v>
      </c>
      <c r="AR11" s="588" t="s">
        <v>182</v>
      </c>
      <c r="AS11" s="588" t="s">
        <v>289</v>
      </c>
      <c r="AT11" s="588" t="s">
        <v>290</v>
      </c>
      <c r="AU11" s="588" t="s">
        <v>183</v>
      </c>
      <c r="AV11" s="588" t="s">
        <v>291</v>
      </c>
      <c r="AW11" s="588" t="s">
        <v>144</v>
      </c>
      <c r="AX11" s="588" t="str">
        <f>CONCATENATE("Q2'",$AX$8 + IF($AN$11&lt;MONTH(--(LEFT($H$9,3)&amp;" 1, 2017")),1,0))</f>
        <v>Q2'20</v>
      </c>
      <c r="AY11" s="588" t="str">
        <f>CONCATENATE("Q3'",$AX$8 + IF($AN$11&lt;MONTH(--(LEFT($H$9,3)&amp;" 1, 2017")),1,0))</f>
        <v>Q3'20</v>
      </c>
      <c r="AZ11" s="588" t="str">
        <f>CONCATENATE("Q4'",$AX$8 + IF($AN$11&lt;MONTH(--(LEFT($H$9,3)&amp;" 1, 2017")),1,0))</f>
        <v>Q4'20</v>
      </c>
      <c r="BA11" s="588" t="str">
        <f>CONCATENATE("Q1'",$AX$8 + 1+IF($AN$11&lt;MONTH(--(LEFT($H$9,3)&amp;" 1, 2017")),1,0))</f>
        <v>Q1'21</v>
      </c>
      <c r="BB11" s="588" t="str">
        <f>CONCATENATE("Q2'",$AX$8 + 1+IF($AN$11&lt;MONTH(--(LEFT($H$9,3)&amp;" 1, 2017")),1,0))</f>
        <v>Q2'21</v>
      </c>
      <c r="BC11" s="588" t="str">
        <f>CONCATENATE("2H'",$AX$8 + IF($AN$11&lt;MONTH(--(LEFT($H$9,3)&amp;" 1, 2017")),1,0))</f>
        <v>2H'20</v>
      </c>
      <c r="BD11" s="588" t="str">
        <f>CONCATENATE("Cal",$AX$8+1 + IF($AN$11&lt;MONTH(--(LEFT($H$9,3)&amp;" 1, 2017")),1,0))</f>
        <v>Cal21</v>
      </c>
      <c r="BE11" s="589" t="str">
        <f>CONCATENATE("Cal",$AX$8+1 + 1+IF($AN$11&lt;MONTH(--(LEFT($H$9,3)&amp;" 1, 2017")),1,0))</f>
        <v>Cal22</v>
      </c>
      <c r="BL11" s="367"/>
      <c r="BM11" s="340" t="s">
        <v>161</v>
      </c>
      <c r="BN11" s="350"/>
      <c r="BO11" s="353"/>
      <c r="BP11" s="340" t="s">
        <v>122</v>
      </c>
      <c r="BQ11" s="350"/>
      <c r="BR11" s="353"/>
      <c r="BS11" s="343" t="s">
        <v>55</v>
      </c>
      <c r="BT11" s="350">
        <f>J24-0.05</f>
        <v>85.04999999999994</v>
      </c>
      <c r="BU11" s="353">
        <f>J24+0.05</f>
        <v>85.149999999999935</v>
      </c>
      <c r="BV11" s="341" t="s">
        <v>186</v>
      </c>
      <c r="BW11" s="342">
        <v>14</v>
      </c>
      <c r="BX11" s="398">
        <v>5</v>
      </c>
      <c r="BY11" s="398">
        <v>5</v>
      </c>
      <c r="BZ11" s="398">
        <v>5</v>
      </c>
      <c r="CA11" s="398">
        <v>5</v>
      </c>
      <c r="CB11" s="398">
        <v>5</v>
      </c>
      <c r="CC11" s="398">
        <v>5</v>
      </c>
      <c r="CD11" s="367"/>
    </row>
    <row r="12" spans="2:82" ht="17.25" x14ac:dyDescent="0.3">
      <c r="B12" s="494" t="str">
        <f>TEXT(EOMONTH(DATEVALUE(LEFT($H$9,3)&amp;" 1, 2020"),3),"mmm")</f>
        <v>Mar</v>
      </c>
      <c r="C12" s="419" t="e">
        <f t="shared" si="0"/>
        <v>#DIV/0!</v>
      </c>
      <c r="D12" s="423" t="str">
        <f>_xll.BDP("SCO4 Comdty","BID")</f>
        <v>#N/A Connection</v>
      </c>
      <c r="E12" s="406" t="str">
        <f>_xll.BDP("SCO4 Comdty","ASK")</f>
        <v>#N/A Connection</v>
      </c>
      <c r="F12" s="308"/>
      <c r="G12" s="277"/>
      <c r="H12" s="471" t="s">
        <v>302</v>
      </c>
      <c r="I12" s="229"/>
      <c r="J12" s="454">
        <v>88.79999999999994</v>
      </c>
      <c r="K12" s="189"/>
      <c r="M12" s="477" t="str">
        <f>CONCATENATE(LEFT($H$9,3),"/",INDEX($AX$9:$AX$21,MATCH(LEFT($H$9,3),$AO$9:$AO$21,0)))</f>
        <v>Dec/Q1'20</v>
      </c>
      <c r="N12" s="131">
        <f>($J$9-$J$17)</f>
        <v>2.5999999999999943</v>
      </c>
      <c r="O12" s="553"/>
      <c r="P12" s="538"/>
      <c r="Q12" s="538"/>
      <c r="R12" s="531" t="str">
        <f>H12</f>
        <v>Mar 20</v>
      </c>
      <c r="S12" s="558">
        <v>12.8</v>
      </c>
      <c r="T12" s="560"/>
      <c r="U12" s="573" t="str">
        <f>H12</f>
        <v>Mar 20</v>
      </c>
      <c r="V12" s="229"/>
      <c r="W12" s="574">
        <f>J12+S12</f>
        <v>101.59999999999994</v>
      </c>
      <c r="X12" s="189"/>
      <c r="Z12" s="516"/>
      <c r="AA12" s="189"/>
      <c r="AB12" s="78"/>
      <c r="AC12" s="518"/>
      <c r="AD12" s="88"/>
      <c r="AE12" s="109" t="e">
        <f>"CN62_"&amp;VLOOKUP(LEFT(#REF!,3),$AG$9:$AH$21,2,FALSE)&amp;RIGHT(#REF!,2)</f>
        <v>#REF!</v>
      </c>
      <c r="AF12" s="89"/>
      <c r="AG12" s="90" t="s">
        <v>22</v>
      </c>
      <c r="AH12" s="90" t="s">
        <v>23</v>
      </c>
      <c r="AI12" s="109" t="e">
        <f ca="1">PLContribFull(#REF!,"BID",AE12,"SLOT41","TICKER",2)</f>
        <v>#NAME?</v>
      </c>
      <c r="AJ12" s="109" t="e">
        <f ca="1">PLContribFull($E49,"ASK",AE12,"SLOT41","TICKER",2)</f>
        <v>#NAME?</v>
      </c>
      <c r="AK12" s="89"/>
      <c r="AL12" s="105"/>
      <c r="AN12" s="587">
        <v>3</v>
      </c>
      <c r="AO12" s="588" t="s">
        <v>78</v>
      </c>
      <c r="AP12" s="588" t="s">
        <v>10</v>
      </c>
      <c r="AQ12" s="588" t="s">
        <v>182</v>
      </c>
      <c r="AR12" s="588" t="s">
        <v>289</v>
      </c>
      <c r="AS12" s="588" t="s">
        <v>290</v>
      </c>
      <c r="AT12" s="588" t="s">
        <v>183</v>
      </c>
      <c r="AU12" s="588" t="s">
        <v>291</v>
      </c>
      <c r="AV12" s="588" t="s">
        <v>144</v>
      </c>
      <c r="AW12" s="588" t="s">
        <v>74</v>
      </c>
      <c r="AX12" s="588" t="str">
        <f>CONCATENATE("Q2'",$AX$8 + IF($AN$12&lt;MONTH(--(LEFT($H$9,3)&amp;" 1, 2017")),1,0))</f>
        <v>Q2'20</v>
      </c>
      <c r="AY12" s="588" t="str">
        <f>CONCATENATE("Q3'",$AX$8 + IF($AN$12&lt;MONTH(--(LEFT($H$9,3)&amp;" 1, 2017")),1,0))</f>
        <v>Q3'20</v>
      </c>
      <c r="AZ12" s="588" t="str">
        <f>CONCATENATE("Q4'",$AX$8 + IF($AN$12&lt;MONTH(--(LEFT($H$9,3)&amp;" 1, 2017")),1,0))</f>
        <v>Q4'20</v>
      </c>
      <c r="BA12" s="588" t="str">
        <f>CONCATENATE("Q1'",$AX$8 + 1+IF($AN$12&lt;MONTH(--(LEFT($H$9,3)&amp;" 1, 2017")),1,0))</f>
        <v>Q1'21</v>
      </c>
      <c r="BB12" s="588" t="str">
        <f>CONCATENATE("Q2'",$AX$8 + 1+IF($AN$12&lt;MONTH(--(LEFT($H$9,3)&amp;" 1, 2017")),1,0))</f>
        <v>Q2'21</v>
      </c>
      <c r="BC12" s="588" t="str">
        <f>CONCATENATE("2H'",$AX$8 + IF($AN$12&lt;MONTH(--(LEFT($H$9,3)&amp;" 1, 2017")),1,0))</f>
        <v>2H'20</v>
      </c>
      <c r="BD12" s="588" t="str">
        <f>CONCATENATE("Cal",$AX$8+1 + IF($AN$12&lt;MONTH(--(LEFT($H$9,3)&amp;" 1, 2017")),1,0))</f>
        <v>Cal21</v>
      </c>
      <c r="BE12" s="589" t="str">
        <f>CONCATENATE("Cal",$AX$8+1 +1+ IF($AN$12&lt;MONTH(--(LEFT($H$9,3)&amp;" 1, 2017")),1,0))</f>
        <v>Cal22</v>
      </c>
      <c r="BL12" s="367"/>
      <c r="BM12" s="340" t="s">
        <v>163</v>
      </c>
      <c r="BN12" s="350"/>
      <c r="BO12" s="353"/>
      <c r="BP12" s="340" t="s">
        <v>125</v>
      </c>
      <c r="BQ12" s="350"/>
      <c r="BR12" s="353"/>
      <c r="BS12" s="343" t="s">
        <v>149</v>
      </c>
      <c r="BT12" s="350">
        <f>J25-0.05</f>
        <v>76.249999999999943</v>
      </c>
      <c r="BU12" s="353">
        <f>J25+0.05</f>
        <v>76.349999999999937</v>
      </c>
      <c r="BV12" s="341" t="s">
        <v>187</v>
      </c>
      <c r="BW12" s="342">
        <v>12</v>
      </c>
      <c r="BX12" s="398">
        <v>5</v>
      </c>
      <c r="BY12" s="398">
        <v>5</v>
      </c>
      <c r="BZ12" s="398">
        <v>5</v>
      </c>
      <c r="CA12" s="398">
        <v>5</v>
      </c>
      <c r="CB12" s="398">
        <v>5</v>
      </c>
      <c r="CC12" s="398">
        <v>5</v>
      </c>
      <c r="CD12" s="367"/>
    </row>
    <row r="13" spans="2:82" ht="17.25" x14ac:dyDescent="0.3">
      <c r="B13" s="494" t="str">
        <f>TEXT(EOMONTH(DATEVALUE(LEFT($H$9,3)&amp;" 1, 2020"),4),"mmm")</f>
        <v>Apr</v>
      </c>
      <c r="C13" s="419" t="e">
        <f t="shared" si="0"/>
        <v>#DIV/0!</v>
      </c>
      <c r="D13" s="423" t="str">
        <f>_xll.BDP("SCO5 Comdty","BID")</f>
        <v>#N/A Connection</v>
      </c>
      <c r="E13" s="406" t="str">
        <f>_xll.BDP("SCO5 Comdty","ASK")</f>
        <v>#N/A Connection</v>
      </c>
      <c r="F13" s="308"/>
      <c r="G13" s="277"/>
      <c r="H13" s="472" t="s">
        <v>303</v>
      </c>
      <c r="I13" s="229"/>
      <c r="J13" s="454">
        <v>87.699999999999946</v>
      </c>
      <c r="K13" s="189"/>
      <c r="M13" s="477" t="str">
        <f>CONCATENATE(LEFT($H$9,3),"/",INDEX($AY$9:$AY$21,MATCH(LEFT($H$9,3),$AO$9:$AO$21,0)))</f>
        <v>Dec/Q2'20</v>
      </c>
      <c r="N13" s="131">
        <f>($J$9-$J$18)</f>
        <v>5.9499999999999886</v>
      </c>
      <c r="O13" s="553"/>
      <c r="R13" s="531" t="str">
        <f>H13</f>
        <v>Apr 20</v>
      </c>
      <c r="S13" s="558">
        <v>13.35</v>
      </c>
      <c r="T13" s="533"/>
      <c r="U13" s="573" t="str">
        <f>H13</f>
        <v>Apr 20</v>
      </c>
      <c r="V13" s="229"/>
      <c r="W13" s="574">
        <f>J13+S13</f>
        <v>101.04999999999994</v>
      </c>
      <c r="X13" s="189"/>
      <c r="Z13" s="516"/>
      <c r="AA13" s="189"/>
      <c r="AD13" s="88"/>
      <c r="AE13" s="109" t="e">
        <f>"CN62_"&amp;VLOOKUP(LEFT(#REF!,3),$AG$9:$AH$21,2,FALSE)&amp;RIGHT(#REF!,2)</f>
        <v>#REF!</v>
      </c>
      <c r="AF13" s="89"/>
      <c r="AG13" s="90" t="s">
        <v>24</v>
      </c>
      <c r="AH13" s="90" t="s">
        <v>25</v>
      </c>
      <c r="AI13" s="109" t="e">
        <f ca="1">PLContribFull(#REF!,"BID",AE13,"SLOT41","TICKER",2)</f>
        <v>#NAME?</v>
      </c>
      <c r="AJ13" s="109" t="e">
        <f ca="1">PLContribFull($E51,"ASK",AE13,"SLOT41","TICKER",2)</f>
        <v>#NAME?</v>
      </c>
      <c r="AK13" s="89"/>
      <c r="AL13" s="105"/>
      <c r="AN13" s="587">
        <v>4</v>
      </c>
      <c r="AO13" s="588" t="s">
        <v>10</v>
      </c>
      <c r="AP13" s="588" t="s">
        <v>182</v>
      </c>
      <c r="AQ13" s="588" t="s">
        <v>289</v>
      </c>
      <c r="AR13" s="588" t="s">
        <v>290</v>
      </c>
      <c r="AS13" s="588" t="s">
        <v>183</v>
      </c>
      <c r="AT13" s="588" t="s">
        <v>291</v>
      </c>
      <c r="AU13" s="588" t="s">
        <v>144</v>
      </c>
      <c r="AV13" s="588" t="s">
        <v>74</v>
      </c>
      <c r="AW13" s="588" t="s">
        <v>75</v>
      </c>
      <c r="AX13" s="588" t="str">
        <f>CONCATENATE("Q2'",$AX$8 + IF($AN$13&lt;MONTH(--(LEFT($H$9,3)&amp;" 1, 2017")),1,0))</f>
        <v>Q2'20</v>
      </c>
      <c r="AY13" s="588" t="str">
        <f>CONCATENATE("Q3'",$AX$8 + IF($AN$13&lt;MONTH(--(LEFT($H$9,3)&amp;" 1, 2017")),1,0))</f>
        <v>Q3'20</v>
      </c>
      <c r="AZ13" s="588" t="str">
        <f>CONCATENATE("Q4'",$AX$8 + IF($AN$13&lt;MONTH(--(LEFT($H$9,3)&amp;" 1, 2017")),1,0))</f>
        <v>Q4'20</v>
      </c>
      <c r="BA13" s="588" t="str">
        <f>CONCATENATE("Q1'",$AX$8 +1+ IF($AN$13&lt;MONTH(--(LEFT($H$9,3)&amp;" 1, 2017")),1,0))</f>
        <v>Q1'21</v>
      </c>
      <c r="BB13" s="588" t="str">
        <f>CONCATENATE("Q2'",$AX$8 +1+ IF($AN$13&lt;MONTH(--(LEFT($H$9,3)&amp;" 1, 2017")),1,0))</f>
        <v>Q2'21</v>
      </c>
      <c r="BC13" s="588" t="str">
        <f>CONCATENATE("2H'",$AX$8 + IF($AN$13&lt;MONTH(--(LEFT($H$9,3)&amp;" 1, 2017")),1,0))</f>
        <v>2H'20</v>
      </c>
      <c r="BD13" s="588" t="str">
        <f>CONCATENATE("Cal",$AX$8+1 + IF($AN$13&lt;MONTH(--(LEFT($H$9,3)&amp;" 1, 2017")),1,0))</f>
        <v>Cal21</v>
      </c>
      <c r="BE13" s="589" t="str">
        <f>CONCATENATE("Cal",$AX$8+1 +1+ IF($AN$13&lt;MONTH(--(LEFT($H$9,3)&amp;" 1, 2017")),1,0))</f>
        <v>Cal22</v>
      </c>
      <c r="BL13" s="367"/>
      <c r="BM13" s="340" t="s">
        <v>165</v>
      </c>
      <c r="BN13" s="350"/>
      <c r="BO13" s="353"/>
      <c r="BP13" s="340" t="s">
        <v>126</v>
      </c>
      <c r="BQ13" s="350"/>
      <c r="BR13" s="353"/>
      <c r="BS13" s="343" t="s">
        <v>188</v>
      </c>
      <c r="BT13" s="350">
        <f>J26-0.05</f>
        <v>71.199999999999946</v>
      </c>
      <c r="BU13" s="353">
        <f>J26+0.05</f>
        <v>71.29999999999994</v>
      </c>
      <c r="BV13" s="344" t="s">
        <v>189</v>
      </c>
      <c r="BW13" s="345">
        <v>5</v>
      </c>
      <c r="BX13" s="398">
        <v>5</v>
      </c>
      <c r="BY13" s="398">
        <v>5</v>
      </c>
      <c r="BZ13" s="398">
        <v>5</v>
      </c>
      <c r="CA13" s="398">
        <v>5</v>
      </c>
      <c r="CB13" s="398">
        <v>5</v>
      </c>
      <c r="CC13" s="398">
        <v>5</v>
      </c>
      <c r="CD13" s="367"/>
    </row>
    <row r="14" spans="2:82" ht="17.25" x14ac:dyDescent="0.3">
      <c r="B14" s="494" t="str">
        <f>TEXT(EOMONTH(DATEVALUE(LEFT($H$9,3)&amp;" 1, 2020"),5),"mmm")</f>
        <v>May</v>
      </c>
      <c r="C14" s="419" t="e">
        <f t="shared" si="0"/>
        <v>#DIV/0!</v>
      </c>
      <c r="D14" s="423" t="str">
        <f>_xll.BDP("SCO6 Comdty","BID")</f>
        <v>#N/A Connection</v>
      </c>
      <c r="E14" s="406" t="str">
        <f>_xll.BDP("SCO6 Comdty","ASK")</f>
        <v>#N/A Connection</v>
      </c>
      <c r="F14" s="308"/>
      <c r="G14" s="230"/>
      <c r="H14" s="471" t="s">
        <v>304</v>
      </c>
      <c r="I14" s="229"/>
      <c r="J14" s="454">
        <v>86.499999999999943</v>
      </c>
      <c r="K14" s="189"/>
      <c r="M14" s="477" t="str">
        <f>CONCATENATE(LEFT($H$9,3),"/",INDEX($AZ$9:$AZ$21,MATCH(LEFT($H$9,3),$AO$9:$AO$21,0)))</f>
        <v>Dec/Q3'20</v>
      </c>
      <c r="N14" s="131">
        <f>($J$9-$J$19)</f>
        <v>9.3999999999999915</v>
      </c>
      <c r="O14" s="553"/>
      <c r="R14" s="531" t="str">
        <f>H17</f>
        <v>Q1 20</v>
      </c>
      <c r="S14" s="558">
        <v>12.35</v>
      </c>
      <c r="T14" s="533"/>
      <c r="U14" s="575" t="str">
        <f>H17</f>
        <v>Q1 20</v>
      </c>
      <c r="V14" s="229"/>
      <c r="W14" s="574">
        <f>S14+J17</f>
        <v>102.34999999999994</v>
      </c>
      <c r="X14" s="189"/>
      <c r="Z14" s="516"/>
      <c r="AA14" s="189"/>
      <c r="AD14" s="88"/>
      <c r="AE14" s="109" t="e">
        <f>"CN62_"&amp;VLOOKUP(LEFT(#REF!,3),$AG$9:$AH$21,2,FALSE)&amp;RIGHT(#REF!,2)</f>
        <v>#REF!</v>
      </c>
      <c r="AF14" s="89"/>
      <c r="AG14" s="90" t="s">
        <v>29</v>
      </c>
      <c r="AH14" s="90" t="s">
        <v>30</v>
      </c>
      <c r="AI14" s="109" t="e">
        <f ca="1">PLContribFull(#REF!,"BID",AE14,"SLOT41","TICKER",2)</f>
        <v>#NAME?</v>
      </c>
      <c r="AJ14" s="109" t="e">
        <f ca="1">_xll.PLContribFull($E52,"ASK",AE14,"BOND","TICKER",2)</f>
        <v>#NAME?</v>
      </c>
      <c r="AK14" s="89"/>
      <c r="AL14" s="105"/>
      <c r="AN14" s="587">
        <v>5</v>
      </c>
      <c r="AO14" s="588" t="s">
        <v>182</v>
      </c>
      <c r="AP14" s="588" t="s">
        <v>289</v>
      </c>
      <c r="AQ14" s="588" t="s">
        <v>290</v>
      </c>
      <c r="AR14" s="588" t="s">
        <v>183</v>
      </c>
      <c r="AS14" s="588" t="s">
        <v>291</v>
      </c>
      <c r="AT14" s="588" t="s">
        <v>144</v>
      </c>
      <c r="AU14" s="588" t="s">
        <v>74</v>
      </c>
      <c r="AV14" s="588" t="s">
        <v>75</v>
      </c>
      <c r="AW14" s="588" t="s">
        <v>76</v>
      </c>
      <c r="AX14" s="588" t="str">
        <f>CONCATENATE("Q3'",$AX$8 + IF($AN$14&lt;MONTH(--(LEFT($H$9,3)&amp;" 1, 2017")),1,0))</f>
        <v>Q3'20</v>
      </c>
      <c r="AY14" s="588" t="str">
        <f>CONCATENATE("Q4'",$AX$8 + IF($AN$14&lt;MONTH(--(LEFT($H$9,3)&amp;" 1, 2017")),1,0))</f>
        <v>Q4'20</v>
      </c>
      <c r="AZ14" s="588" t="str">
        <f>CONCATENATE("Q1'",$AX$8 +1+ IF($AN$14&lt;MONTH(--(LEFT($H$9,3)&amp;" 1, 2017")),1,0))</f>
        <v>Q1'21</v>
      </c>
      <c r="BA14" s="588" t="str">
        <f>CONCATENATE("Q2'",$AX$8 + 1+IF($AN$14&lt;MONTH(--(LEFT($H$9,3)&amp;" 1, 2017")),1,0))</f>
        <v>Q2'21</v>
      </c>
      <c r="BB14" s="588" t="str">
        <f>CONCATENATE("Q3'",$AX$8 + 1+IF($AN$14&lt;MONTH(--(LEFT($H$9,3)&amp;" 1, 2017")),1,0))</f>
        <v>Q3'21</v>
      </c>
      <c r="BC14" s="588" t="str">
        <f>CONCATENATE("2H'",$AX$8 + IF($AN$14&lt;MONTH(--(LEFT($H$9,3)&amp;" 1, 2017")),1,0))</f>
        <v>2H'20</v>
      </c>
      <c r="BD14" s="588" t="str">
        <f>CONCATENATE("Cal",$AX$8+1 + IF($AN$14&lt;MONTH(--(LEFT($H$9,3)&amp;" 1, 2017")),1,0))</f>
        <v>Cal21</v>
      </c>
      <c r="BE14" s="589" t="str">
        <f>CONCATENATE("Cal",$AX$8+1 +1+ IF($AN$14&lt;MONTH(--(LEFT($H$9,3)&amp;" 1, 2017")),1,0))</f>
        <v>Cal22</v>
      </c>
      <c r="BL14" s="367"/>
      <c r="BM14" s="340" t="s">
        <v>169</v>
      </c>
      <c r="BN14" s="350"/>
      <c r="BO14" s="353"/>
      <c r="BP14" s="340" t="s">
        <v>127</v>
      </c>
      <c r="BQ14" s="350">
        <f>J17-0.05</f>
        <v>89.949999999999946</v>
      </c>
      <c r="BR14" s="353">
        <f>J17+0.05</f>
        <v>90.04999999999994</v>
      </c>
      <c r="BS14" s="343" t="s">
        <v>191</v>
      </c>
      <c r="BT14" s="350"/>
      <c r="BU14" s="353"/>
      <c r="BW14" s="346" t="s">
        <v>260</v>
      </c>
      <c r="BX14" s="398">
        <v>5</v>
      </c>
      <c r="BY14" s="398">
        <v>5</v>
      </c>
      <c r="BZ14" s="398">
        <v>5</v>
      </c>
      <c r="CA14" s="398">
        <v>5</v>
      </c>
      <c r="CB14" s="398">
        <v>5</v>
      </c>
      <c r="CC14" s="398">
        <v>5</v>
      </c>
      <c r="CD14" s="367"/>
    </row>
    <row r="15" spans="2:82" ht="18" thickBot="1" x14ac:dyDescent="0.35">
      <c r="B15" s="494" t="str">
        <f>TEXT(EOMONTH(DATEVALUE(LEFT($H$9,3)&amp;" 1, 2020"),6),"mmm")</f>
        <v>Jun</v>
      </c>
      <c r="C15" s="419" t="e">
        <f>AVERAGE(D15:E15)</f>
        <v>#DIV/0!</v>
      </c>
      <c r="D15" s="423" t="str">
        <f>_xll.BDP("SCO7 Comdty","BID")</f>
        <v>#N/A Connection</v>
      </c>
      <c r="E15" s="406" t="str">
        <f>_xll.BDP("SCO7 Comdty","ASK")</f>
        <v>#N/A Connection</v>
      </c>
      <c r="F15" s="308"/>
      <c r="G15" s="302"/>
      <c r="H15" s="471" t="s">
        <v>316</v>
      </c>
      <c r="I15" s="229"/>
      <c r="J15" s="454">
        <v>85.699999999999946</v>
      </c>
      <c r="K15" s="189"/>
      <c r="M15" s="477" t="str">
        <f>CONCATENATE(LEFT($H$9,3),"/",INDEX($BA$9:$BA$21,MATCH(LEFT($H$9,3),$AO$9:$AO$21,0)))</f>
        <v>Dec/Q4'20</v>
      </c>
      <c r="N15" s="131">
        <f>($J$9-$J$20)</f>
        <v>12.049999999999997</v>
      </c>
      <c r="O15" s="553"/>
      <c r="P15" s="539"/>
      <c r="Q15" s="539"/>
      <c r="R15" s="532" t="str">
        <f>H18</f>
        <v>Q2 20</v>
      </c>
      <c r="S15" s="559">
        <v>14</v>
      </c>
      <c r="T15" s="561"/>
      <c r="U15" s="576" t="str">
        <f>H18</f>
        <v>Q2 20</v>
      </c>
      <c r="V15" s="303"/>
      <c r="W15" s="577">
        <f>S15+J18</f>
        <v>100.64999999999995</v>
      </c>
      <c r="X15" s="189"/>
      <c r="Z15" s="516"/>
      <c r="AA15" s="189"/>
      <c r="AC15" s="517"/>
      <c r="AD15" s="88"/>
      <c r="AE15" s="109" t="e">
        <f>"CN62_"&amp;VLOOKUP(LEFT(#REF!,3),$AG$9:$AH$21,2,FALSE)&amp;RIGHT(#REF!,2)</f>
        <v>#REF!</v>
      </c>
      <c r="AF15" s="89"/>
      <c r="AG15" s="90" t="s">
        <v>33</v>
      </c>
      <c r="AH15" s="90" t="s">
        <v>34</v>
      </c>
      <c r="AI15" s="109" t="e">
        <f ca="1">PLContribFull(#REF!,"BID",AE15,"SLOT41","TICKER",2)</f>
        <v>#NAME?</v>
      </c>
      <c r="AJ15" s="109" t="e">
        <f ca="1">PLContribFull($E54,"ASK",AE15,"SLOT41","TICKER",2)</f>
        <v>#NAME?</v>
      </c>
      <c r="AK15" s="89"/>
      <c r="AL15" s="105"/>
      <c r="AN15" s="587">
        <v>6</v>
      </c>
      <c r="AO15" s="588" t="s">
        <v>289</v>
      </c>
      <c r="AP15" s="588" t="s">
        <v>290</v>
      </c>
      <c r="AQ15" s="588" t="s">
        <v>183</v>
      </c>
      <c r="AR15" s="588" t="s">
        <v>291</v>
      </c>
      <c r="AS15" s="588" t="s">
        <v>144</v>
      </c>
      <c r="AT15" s="588" t="s">
        <v>74</v>
      </c>
      <c r="AU15" s="588" t="s">
        <v>75</v>
      </c>
      <c r="AV15" s="588" t="s">
        <v>76</v>
      </c>
      <c r="AW15" s="588" t="s">
        <v>77</v>
      </c>
      <c r="AX15" s="588" t="str">
        <f>CONCATENATE("Q3'",$AX$8 + IF($AN$15&lt;MONTH(--(LEFT($H$9,3)&amp;" 1, 2017")),1,0))</f>
        <v>Q3'20</v>
      </c>
      <c r="AY15" s="588" t="str">
        <f>CONCATENATE("Q4'",$AX$8 + IF($AN$15&lt;MONTH(--(LEFT($H$9,3)&amp;" 1, 2017")),1,0))</f>
        <v>Q4'20</v>
      </c>
      <c r="AZ15" s="588" t="str">
        <f>CONCATENATE("Q1'",$AX$8 + 1+IF($AN$15&lt;MONTH(--(LEFT($H$9,3)&amp;" 1, 2017")),1,0))</f>
        <v>Q1'21</v>
      </c>
      <c r="BA15" s="588" t="str">
        <f>CONCATENATE("Q2'",$AX$8 +1+ IF($AN$15&lt;MONTH(--(LEFT($H$9,3)&amp;" 1, 2017")),1,0))</f>
        <v>Q2'21</v>
      </c>
      <c r="BB15" s="588" t="str">
        <f>CONCATENATE("Q3'",$AX$8 +1+ IF($AN$15&lt;MONTH(--(LEFT($H$9,3)&amp;" 1, 2017")),1,0))</f>
        <v>Q3'21</v>
      </c>
      <c r="BC15" s="588" t="str">
        <f>CONCATENATE("2H'",$AX$8 + IF($AN$15&lt;MONTH(--(LEFT($H$9,3)&amp;" 1, 2017")),1,0))</f>
        <v>2H'20</v>
      </c>
      <c r="BD15" s="588" t="str">
        <f>CONCATENATE("Cal",$AX$8+1 + IF($AN$15&lt;MONTH(--(LEFT($H$9,3)&amp;" 1, 2017")),1,0))</f>
        <v>Cal21</v>
      </c>
      <c r="BE15" s="589" t="str">
        <f>CONCATENATE("Cal",$AX$8+1 +1+ IF($AN$15&lt;MONTH(--(LEFT($H$9,3)&amp;" 1, 2017")),1,0))</f>
        <v>Cal22</v>
      </c>
      <c r="BL15" s="367"/>
      <c r="BM15" s="340" t="s">
        <v>171</v>
      </c>
      <c r="BN15" s="350"/>
      <c r="BO15" s="353"/>
      <c r="BP15" s="340" t="s">
        <v>124</v>
      </c>
      <c r="BQ15" s="350">
        <f t="shared" ref="BQ15:BQ20" si="1">J18-0.05</f>
        <v>86.599999999999952</v>
      </c>
      <c r="BR15" s="353">
        <f t="shared" ref="BR15:BR20" si="2">J18+0.05</f>
        <v>86.699999999999946</v>
      </c>
      <c r="BS15" s="343"/>
      <c r="BT15" s="350"/>
      <c r="BU15" s="353"/>
      <c r="BW15" s="346"/>
      <c r="BX15" s="398">
        <v>5</v>
      </c>
      <c r="BY15" s="398">
        <v>5</v>
      </c>
      <c r="BZ15" s="399"/>
      <c r="CA15" s="398">
        <v>5</v>
      </c>
      <c r="CB15" s="398">
        <v>5</v>
      </c>
      <c r="CC15" s="399"/>
      <c r="CD15" s="367"/>
    </row>
    <row r="16" spans="2:82" ht="18" thickBot="1" x14ac:dyDescent="0.35">
      <c r="B16" s="494" t="str">
        <f>TEXT(EOMONTH(DATEVALUE(LEFT($H$9,3)&amp;" 1, 2020"),7),"mmm")</f>
        <v>Jul</v>
      </c>
      <c r="C16" s="419" t="e">
        <f t="shared" si="0"/>
        <v>#DIV/0!</v>
      </c>
      <c r="D16" s="423" t="str">
        <f>_xll.BDP("SCO8 Comdty","BID")</f>
        <v>#N/A Connection</v>
      </c>
      <c r="E16" s="406" t="str">
        <f>_xll.BDP("SCO8 Comdty","ASK")</f>
        <v>#N/A Connection</v>
      </c>
      <c r="F16" s="308"/>
      <c r="G16" s="230"/>
      <c r="H16" s="473" t="s">
        <v>325</v>
      </c>
      <c r="I16" s="431"/>
      <c r="J16" s="455">
        <v>84.399999999999949</v>
      </c>
      <c r="K16" s="189"/>
      <c r="L16" s="221"/>
      <c r="M16" s="477" t="str">
        <f>CONCATENATE(LEFT($H$9,3),"/",INDEX($BC$9:$BC$21,MATCH(LEFT($H$9,3),$AO$9:$AO$21,0)))</f>
        <v>Dec/1H'20</v>
      </c>
      <c r="N16" s="131">
        <f>($J$9-AVERAGE(J18:J19))</f>
        <v>7.6749999999999829</v>
      </c>
      <c r="O16" s="553"/>
      <c r="P16" s="537"/>
      <c r="Q16" s="537"/>
      <c r="R16" s="549"/>
      <c r="S16" s="549"/>
      <c r="T16" s="561"/>
      <c r="U16" s="67"/>
      <c r="V16" s="67"/>
      <c r="W16" s="67"/>
      <c r="X16" s="67"/>
      <c r="Y16" s="221"/>
      <c r="Z16" s="516"/>
      <c r="AA16" s="189"/>
      <c r="AC16" s="81"/>
      <c r="AD16" s="88" t="s">
        <v>35</v>
      </c>
      <c r="AE16" s="298" t="e">
        <f>"CN62_"&amp;VLOOKUP(LEFT(#REF!,2),$AG$24:$AH$27,2,FALSE)&amp;RIGHT(#REF!,2)</f>
        <v>#REF!</v>
      </c>
      <c r="AF16" s="89"/>
      <c r="AG16" s="90" t="s">
        <v>36</v>
      </c>
      <c r="AH16" s="90" t="s">
        <v>37</v>
      </c>
      <c r="AI16" s="298" t="e">
        <f ca="1">PLContribFull(#REF!,"BID",AE16,"SLOT41","TICKER",2)</f>
        <v>#NAME?</v>
      </c>
      <c r="AJ16" s="298" t="e">
        <f ca="1">PLContribFull(#REF!,"ASK",AE16,"SLOT41","TICKER",2)</f>
        <v>#NAME?</v>
      </c>
      <c r="AK16" s="298"/>
      <c r="AL16" s="105"/>
      <c r="AN16" s="587">
        <v>7</v>
      </c>
      <c r="AO16" s="588" t="s">
        <v>290</v>
      </c>
      <c r="AP16" s="588" t="s">
        <v>183</v>
      </c>
      <c r="AQ16" s="588" t="s">
        <v>291</v>
      </c>
      <c r="AR16" s="588" t="s">
        <v>144</v>
      </c>
      <c r="AS16" s="588" t="s">
        <v>74</v>
      </c>
      <c r="AT16" s="588" t="s">
        <v>75</v>
      </c>
      <c r="AU16" s="588" t="s">
        <v>76</v>
      </c>
      <c r="AV16" s="588" t="s">
        <v>77</v>
      </c>
      <c r="AW16" s="588" t="s">
        <v>78</v>
      </c>
      <c r="AX16" s="588" t="str">
        <f>CONCATENATE("Q3'",$AX$8 + IF($AN$16&lt;MONTH(--(LEFT($H$9,3)&amp;" 1, 2017")),1,0))</f>
        <v>Q3'20</v>
      </c>
      <c r="AY16" s="588" t="str">
        <f>CONCATENATE("Q4'",$AX$8 + IF($AN$16&lt;MONTH(--(LEFT($H$9,3)&amp;" 1, 2017")),1,0))</f>
        <v>Q4'20</v>
      </c>
      <c r="AZ16" s="588" t="str">
        <f>CONCATENATE("Q1'",$AX$8 +1+ IF($AN$16&lt;MONTH(--(LEFT($H$9,3)&amp;" 1, 2017")),1,0))</f>
        <v>Q1'21</v>
      </c>
      <c r="BA16" s="588" t="str">
        <f>CONCATENATE("Q2'",$AX$8 + 1+IF($AN$16&lt;MONTH(--(LEFT($H$9,3)&amp;" 1, 2017")),1,0))</f>
        <v>Q2'21</v>
      </c>
      <c r="BB16" s="588" t="str">
        <f>CONCATENATE("Q3'",$AX$8 + 1+IF($AN$16&lt;MONTH(--(LEFT($H$9,3)&amp;" 1, 2017")),1,0))</f>
        <v>Q3'21</v>
      </c>
      <c r="BC16" s="588" t="str">
        <f>CONCATENATE("2H'",$AX$8 + IF($AN$16&lt;MONTH(--(LEFT($H$9,3)&amp;" 1, 2017")),1,0))</f>
        <v>2H'20</v>
      </c>
      <c r="BD16" s="588" t="str">
        <f>CONCATENATE("Cal",$AX$8+1 + IF($AN$16&lt;MONTH(--(LEFT($H$9,3)&amp;" 1, 2017")),1,0))</f>
        <v>Cal21</v>
      </c>
      <c r="BE16" s="589" t="str">
        <f>CONCATENATE("Cal",$AX$8+1 +1+ IF($AN$16&lt;MONTH(--(LEFT($H$9,3)&amp;" 1, 2017")),1,0))</f>
        <v>Cal22</v>
      </c>
      <c r="BL16" s="367"/>
      <c r="BM16" s="340" t="s">
        <v>177</v>
      </c>
      <c r="BN16" s="350"/>
      <c r="BO16" s="353"/>
      <c r="BP16" s="340" t="s">
        <v>128</v>
      </c>
      <c r="BQ16" s="350">
        <f t="shared" si="1"/>
        <v>83.149999999999949</v>
      </c>
      <c r="BR16" s="353">
        <f t="shared" si="2"/>
        <v>83.249999999999943</v>
      </c>
      <c r="BS16" s="3"/>
      <c r="BT16" s="3"/>
      <c r="BU16" s="347"/>
      <c r="BW16" s="346"/>
      <c r="BX16" s="398">
        <v>5</v>
      </c>
      <c r="BY16" s="398">
        <v>5</v>
      </c>
      <c r="BZ16" s="399"/>
      <c r="CA16" s="398">
        <v>5</v>
      </c>
      <c r="CB16" s="398">
        <v>5</v>
      </c>
      <c r="CC16" s="399"/>
      <c r="CD16" s="367"/>
    </row>
    <row r="17" spans="2:82" ht="18" thickBot="1" x14ac:dyDescent="0.35">
      <c r="B17" s="494" t="str">
        <f>TEXT(EOMONTH(DATEVALUE(LEFT($H$9,3)&amp;" 1, 2020"),8),"mmm")</f>
        <v>Aug</v>
      </c>
      <c r="C17" s="419" t="e">
        <f t="shared" ref="C17:C18" si="3">AVERAGE(D17:E17)</f>
        <v>#DIV/0!</v>
      </c>
      <c r="D17" s="423" t="str">
        <f>_xll.BDP("SCO9 Comdty","BID")</f>
        <v>#N/A Connection</v>
      </c>
      <c r="E17" s="406" t="str">
        <f>_xll.BDP("SCO9 Comdty","ASK")</f>
        <v>#N/A Connection</v>
      </c>
      <c r="F17" s="308"/>
      <c r="G17" s="230"/>
      <c r="H17" s="474" t="s">
        <v>127</v>
      </c>
      <c r="I17" s="229"/>
      <c r="J17" s="454">
        <v>89.999999999999943</v>
      </c>
      <c r="K17" s="365">
        <f>AVERAGE(J10:J12)</f>
        <v>89.983333333333277</v>
      </c>
      <c r="L17" s="222"/>
      <c r="M17" s="479" t="str">
        <f>CONCATENATE(LEFT($H$9,3),"/",INDEX($BD$9:$BD$21,MATCH(LEFT($H$9,3),$AO$9:$AO$21,0)))</f>
        <v>Dec/Cal20</v>
      </c>
      <c r="N17" s="132">
        <f>($J$9-$J$24)</f>
        <v>7.5</v>
      </c>
      <c r="O17" s="553"/>
      <c r="R17" s="547" t="s">
        <v>312</v>
      </c>
      <c r="S17" s="548" t="s">
        <v>4</v>
      </c>
      <c r="T17" s="533"/>
      <c r="U17" s="654" t="s">
        <v>323</v>
      </c>
      <c r="V17" s="655"/>
      <c r="W17" s="67"/>
      <c r="X17" s="67"/>
      <c r="Y17" s="222"/>
      <c r="Z17" s="516"/>
      <c r="AA17" s="189"/>
      <c r="AC17" s="81"/>
      <c r="AD17" s="88"/>
      <c r="AE17" s="109" t="e">
        <f>"CN62_"&amp;VLOOKUP(LEFT($B56,2),$AG$24:$AH$27,2,FALSE)&amp;RIGHT($B56,2)</f>
        <v>#N/A</v>
      </c>
      <c r="AF17" s="89"/>
      <c r="AG17" s="90" t="s">
        <v>38</v>
      </c>
      <c r="AH17" s="90" t="s">
        <v>39</v>
      </c>
      <c r="AI17" s="109" t="e">
        <f ca="1">PLContribFull($C56,"BID",AE17,"SLOT41","TICKER",2)</f>
        <v>#NAME?</v>
      </c>
      <c r="AJ17" s="109" t="e">
        <f ca="1">PLContribFull($E62,"ASK",AE17,"SLOT41","TICKER",2)</f>
        <v>#NAME?</v>
      </c>
      <c r="AK17" s="89"/>
      <c r="AL17" s="105"/>
      <c r="AN17" s="587">
        <v>8</v>
      </c>
      <c r="AO17" s="588" t="s">
        <v>183</v>
      </c>
      <c r="AP17" s="588" t="s">
        <v>291</v>
      </c>
      <c r="AQ17" s="588" t="s">
        <v>144</v>
      </c>
      <c r="AR17" s="588" t="s">
        <v>74</v>
      </c>
      <c r="AS17" s="588" t="s">
        <v>75</v>
      </c>
      <c r="AT17" s="588" t="s">
        <v>76</v>
      </c>
      <c r="AU17" s="588" t="s">
        <v>77</v>
      </c>
      <c r="AV17" s="588" t="s">
        <v>78</v>
      </c>
      <c r="AW17" s="588" t="s">
        <v>10</v>
      </c>
      <c r="AX17" s="588" t="str">
        <f>CONCATENATE("Q4'",$AX$8 + IF($AN$17&lt;MONTH(--(LEFT($H$9,3)&amp;" 1, 2017")),1,0))</f>
        <v>Q4'20</v>
      </c>
      <c r="AY17" s="588" t="str">
        <f>CONCATENATE("Q1'",$AX$8 +1+ IF($AN$17&lt;MONTH(--(LEFT($H$9,3)&amp;" 1, 2017")),1,0))</f>
        <v>Q1'21</v>
      </c>
      <c r="AZ17" s="588" t="str">
        <f>CONCATENATE("Q2'",$AX$8 + 1+IF($AN$17&lt;MONTH(--(LEFT($H$9,3)&amp;" 1, 2017")),1,0))</f>
        <v>Q2'21</v>
      </c>
      <c r="BA17" s="588" t="str">
        <f>CONCATENATE("Q3'",$AX$8 + 1+IF($AN$17&lt;MONTH(--(LEFT($H$9,3)&amp;" 1, 2017")),1,0))</f>
        <v>Q3'21</v>
      </c>
      <c r="BB17" s="588" t="str">
        <f>CONCATENATE("Q4'",$AX$8 + 1+IF($AN$17&lt;MONTH(--(LEFT($H$9,3)&amp;" 1, 2017")),1,0))</f>
        <v>Q4'21</v>
      </c>
      <c r="BC17" s="588" t="str">
        <f>CONCATENATE("1H'",$AX$8+1 + IF($AN$17&lt;MONTH(--(LEFT($H$9,3)&amp;" 1, 2017")),1,0))</f>
        <v>1H'21</v>
      </c>
      <c r="BD17" s="588" t="str">
        <f>CONCATENATE("Cal",$AX$8+1 + IF($AN$17&lt;MONTH(--(LEFT($H$9,3)&amp;" 1, 2017")),1,0))</f>
        <v>Cal21</v>
      </c>
      <c r="BE17" s="589" t="str">
        <f>CONCATENATE("Cal",$AX$8+1 +1+ IF($AN$17&lt;MONTH(--(LEFT($H$9,3)&amp;" 1, 2017")),1,0))</f>
        <v>Cal22</v>
      </c>
      <c r="BL17" s="367"/>
      <c r="BM17" s="340" t="s">
        <v>235</v>
      </c>
      <c r="BN17" s="350"/>
      <c r="BO17" s="353"/>
      <c r="BP17" s="340" t="s">
        <v>129</v>
      </c>
      <c r="BQ17" s="350">
        <f t="shared" si="1"/>
        <v>80.499999999999943</v>
      </c>
      <c r="BR17" s="353">
        <f t="shared" si="2"/>
        <v>80.599999999999937</v>
      </c>
      <c r="BS17" s="3"/>
      <c r="BT17" s="3"/>
      <c r="BU17" s="347"/>
      <c r="BW17" s="346"/>
      <c r="BX17" s="398">
        <v>5</v>
      </c>
      <c r="BY17" s="398">
        <v>5</v>
      </c>
      <c r="BZ17" s="399"/>
      <c r="CA17" s="398">
        <v>5</v>
      </c>
      <c r="CB17" s="398">
        <v>5</v>
      </c>
      <c r="CC17" s="399"/>
      <c r="CD17" s="367"/>
    </row>
    <row r="18" spans="2:82" ht="18" thickTop="1" x14ac:dyDescent="0.3">
      <c r="B18" s="494" t="str">
        <f>TEXT(EOMONTH(DATEVALUE(LEFT($H$9,3)&amp;" 1, 2020"),9),"mmm")</f>
        <v>Sep</v>
      </c>
      <c r="C18" s="419" t="e">
        <f t="shared" si="3"/>
        <v>#DIV/0!</v>
      </c>
      <c r="D18" s="423" t="str">
        <f>_xll.BDP("SCO10 Comdty","BID")</f>
        <v>#N/A Connection</v>
      </c>
      <c r="E18" s="406" t="str">
        <f>_xll.BDP("SCO10 Comdty","ASK")</f>
        <v>#N/A Connection</v>
      </c>
      <c r="F18" s="308"/>
      <c r="G18" s="230"/>
      <c r="H18" s="474" t="s">
        <v>124</v>
      </c>
      <c r="I18" s="229"/>
      <c r="J18" s="454">
        <v>86.649999999999949</v>
      </c>
      <c r="K18" s="365">
        <f>AVERAGE(J13:J15)</f>
        <v>86.633333333333269</v>
      </c>
      <c r="L18" s="190"/>
      <c r="M18" s="478" t="str">
        <f>CONCATENATE(LEFT($H$10,3),"/",INDEX($AQ$9:$AQ$21,MATCH(LEFT($H$10,3),$AP$9:$AP$21,0)))</f>
        <v>Jan/Feb</v>
      </c>
      <c r="N18" s="337">
        <f>$J$10-$J$11</f>
        <v>1.0499999999999972</v>
      </c>
      <c r="O18" s="553"/>
      <c r="R18" s="524" t="str">
        <f>M9</f>
        <v>Dec/Jan</v>
      </c>
      <c r="S18" s="131">
        <f>(W9-W10)</f>
        <v>0.95000000000000284</v>
      </c>
      <c r="T18" s="562"/>
      <c r="U18" s="620" t="str">
        <f>R9</f>
        <v>Dec 19</v>
      </c>
      <c r="V18" s="557">
        <v>24.75</v>
      </c>
      <c r="W18" s="510"/>
      <c r="X18" s="189"/>
      <c r="Y18" s="190"/>
      <c r="Z18" s="516"/>
      <c r="AA18" s="189"/>
      <c r="AC18" s="81"/>
      <c r="AD18" s="88"/>
      <c r="AE18" s="109" t="e">
        <f>"CN62_"&amp;VLOOKUP(LEFT(#REF!,2),$AG$24:$AH$27,2,FALSE)&amp;RIGHT(#REF!,2)</f>
        <v>#REF!</v>
      </c>
      <c r="AF18" s="89"/>
      <c r="AG18" s="90" t="s">
        <v>40</v>
      </c>
      <c r="AH18" s="90" t="s">
        <v>41</v>
      </c>
      <c r="AI18" s="109" t="e">
        <f ca="1">PLContribFull(#REF!,"BID",AE18,"SLOT41","TICKER",2)</f>
        <v>#NAME?</v>
      </c>
      <c r="AJ18" s="109" t="e">
        <f ca="1">PLContribFull(#REF!,"ASK",AE18,"SLOT41","TICKER",2)</f>
        <v>#NAME?</v>
      </c>
      <c r="AK18" s="89"/>
      <c r="AL18" s="105"/>
      <c r="AN18" s="587">
        <v>9</v>
      </c>
      <c r="AO18" s="588" t="s">
        <v>291</v>
      </c>
      <c r="AP18" s="588" t="s">
        <v>144</v>
      </c>
      <c r="AQ18" s="588" t="s">
        <v>74</v>
      </c>
      <c r="AR18" s="588" t="s">
        <v>75</v>
      </c>
      <c r="AS18" s="588" t="s">
        <v>76</v>
      </c>
      <c r="AT18" s="588" t="s">
        <v>77</v>
      </c>
      <c r="AU18" s="588" t="s">
        <v>78</v>
      </c>
      <c r="AV18" s="588" t="s">
        <v>10</v>
      </c>
      <c r="AW18" s="588" t="s">
        <v>182</v>
      </c>
      <c r="AX18" s="588" t="str">
        <f>CONCATENATE("Q4'",$AX$8 + IF($AN$18&lt;MONTH(--(LEFT($H$9,3)&amp;" 1, 2017")),1,0))</f>
        <v>Q4'20</v>
      </c>
      <c r="AY18" s="588" t="str">
        <f>CONCATENATE("Q1'",$AX$8 + 1+IF($AN$18&lt;MONTH(--(LEFT($H$9,3)&amp;" 1, 2017")),1,0))</f>
        <v>Q1'21</v>
      </c>
      <c r="AZ18" s="588" t="str">
        <f>CONCATENATE("Q2'",$AX$8 +1+ IF($AN$18&lt;MONTH(--(LEFT($H$9,3)&amp;" 1, 2017")),1,0))</f>
        <v>Q2'21</v>
      </c>
      <c r="BA18" s="588" t="str">
        <f>CONCATENATE("Q3'",$AX$8 +1+ IF($AN$18&lt;MONTH(--(LEFT($H$9,3)&amp;" 1, 2017")),1,0))</f>
        <v>Q3'21</v>
      </c>
      <c r="BB18" s="588" t="str">
        <f>CONCATENATE("Q4'",$AX$8 +1+ IF($AN$18&lt;MONTH(--(LEFT($H$9,3)&amp;" 1, 2017")),1,0))</f>
        <v>Q4'21</v>
      </c>
      <c r="BC18" s="588" t="str">
        <f>CONCATENATE("1H'",$AX$8+1 + IF($AN$18&lt;MONTH(--(LEFT($H$9,3)&amp;" 1, 2017")),1,0))</f>
        <v>1H'21</v>
      </c>
      <c r="BD18" s="588" t="str">
        <f>CONCATENATE("Cal",$AX$8+1 + IF($AN$18&lt;MONTH(--(LEFT($H$9,3)&amp;" 1, 2017")),1,0))</f>
        <v>Cal21</v>
      </c>
      <c r="BE18" s="589" t="str">
        <f>CONCATENATE("Cal",$AX$8+1 +1+ IF($AN$18&lt;MONTH(--(LEFT($H$9,3)&amp;" 1, 2017")),1,0))</f>
        <v>Cal22</v>
      </c>
      <c r="BL18" s="367"/>
      <c r="BM18" s="340" t="s">
        <v>236</v>
      </c>
      <c r="BN18" s="350"/>
      <c r="BO18" s="353"/>
      <c r="BP18" s="340" t="s">
        <v>152</v>
      </c>
      <c r="BQ18" s="350">
        <f t="shared" si="1"/>
        <v>78.54999999999994</v>
      </c>
      <c r="BR18" s="353">
        <f t="shared" si="2"/>
        <v>78.649999999999935</v>
      </c>
      <c r="BS18" s="3"/>
      <c r="BT18" s="3"/>
      <c r="BU18" s="348"/>
      <c r="BW18" s="346"/>
      <c r="BX18" s="398">
        <v>5</v>
      </c>
      <c r="BY18" s="398">
        <v>5</v>
      </c>
      <c r="BZ18" s="399"/>
      <c r="CA18" s="398">
        <v>5</v>
      </c>
      <c r="CB18" s="398">
        <v>5</v>
      </c>
      <c r="CC18" s="399"/>
      <c r="CD18" s="367"/>
    </row>
    <row r="19" spans="2:82" ht="17.25" x14ac:dyDescent="0.3">
      <c r="B19" s="494" t="str">
        <f>TEXT(EOMONTH(DATEVALUE(LEFT($H$9,3)&amp;" 1, 2020"),10),"mmm")</f>
        <v>Oct</v>
      </c>
      <c r="C19" s="419" t="e">
        <f>AVERAGE(D19:E19)</f>
        <v>#DIV/0!</v>
      </c>
      <c r="D19" s="424" t="str">
        <f>_xll.BDP("SCO11 Comdty","BID")</f>
        <v>#N/A Connection</v>
      </c>
      <c r="E19" s="408" t="str">
        <f>_xll.BDP("SCO12 Comdty","ASK")</f>
        <v>#N/A Connection</v>
      </c>
      <c r="F19" s="308"/>
      <c r="G19" s="189"/>
      <c r="H19" s="474" t="s">
        <v>128</v>
      </c>
      <c r="I19" s="229"/>
      <c r="J19" s="454">
        <v>83.199999999999946</v>
      </c>
      <c r="K19" s="463"/>
      <c r="L19" s="190"/>
      <c r="M19" s="477" t="str">
        <f>CONCATENATE(LEFT($H$10,3),"/",INDEX($AR$9:$AR$21,MATCH(LEFT($H$10,3),$AP$9:$AP$21,0)))</f>
        <v>Jan/Mar</v>
      </c>
      <c r="N19" s="131">
        <f>$J$10-$J$12</f>
        <v>2.2999999999999972</v>
      </c>
      <c r="O19" s="553"/>
      <c r="R19" s="525" t="str">
        <f>M10</f>
        <v>Dec/Feb</v>
      </c>
      <c r="S19" s="131">
        <f>(W9-W11)</f>
        <v>1.1500000000000057</v>
      </c>
      <c r="T19" s="533"/>
      <c r="U19" s="621" t="str">
        <f t="shared" ref="U19:U20" si="4">R10</f>
        <v>Jan 20</v>
      </c>
      <c r="V19" s="558">
        <v>25.25</v>
      </c>
      <c r="W19" s="510"/>
      <c r="X19" s="189"/>
      <c r="Y19" s="190"/>
      <c r="Z19" s="516"/>
      <c r="AA19" s="189"/>
      <c r="AC19" s="518"/>
      <c r="AD19" s="88"/>
      <c r="AE19" s="109" t="e">
        <f>"CN62_"&amp;VLOOKUP(LEFT(#REF!,2),$AG$24:$AH$27,2,FALSE)&amp;RIGHT(#REF!,2)</f>
        <v>#REF!</v>
      </c>
      <c r="AF19" s="89"/>
      <c r="AG19" s="90" t="s">
        <v>42</v>
      </c>
      <c r="AH19" s="90" t="s">
        <v>43</v>
      </c>
      <c r="AI19" s="109" t="e">
        <f ca="1">PLContribFull(#REF!,"BID",AE19,"SLOT41","TICKER",2)</f>
        <v>#NAME?</v>
      </c>
      <c r="AJ19" s="109" t="e">
        <f ca="1">PLContribFull(#REF!,"ASK",AE19,"SLOT41","TICKER",2)</f>
        <v>#NAME?</v>
      </c>
      <c r="AK19" s="89"/>
      <c r="AL19" s="105"/>
      <c r="AN19" s="587">
        <v>10</v>
      </c>
      <c r="AO19" s="588" t="s">
        <v>144</v>
      </c>
      <c r="AP19" s="588" t="s">
        <v>74</v>
      </c>
      <c r="AQ19" s="588" t="s">
        <v>75</v>
      </c>
      <c r="AR19" s="588" t="s">
        <v>76</v>
      </c>
      <c r="AS19" s="588" t="s">
        <v>77</v>
      </c>
      <c r="AT19" s="588" t="s">
        <v>78</v>
      </c>
      <c r="AU19" s="588" t="s">
        <v>10</v>
      </c>
      <c r="AV19" s="588" t="s">
        <v>182</v>
      </c>
      <c r="AW19" s="588" t="s">
        <v>289</v>
      </c>
      <c r="AX19" s="588" t="str">
        <f>CONCATENATE("Q4'",$AX$8 + IF($AN$19&lt;MONTH(--(LEFT($H$9,3)&amp;" 1, 2017")),1,0))</f>
        <v>Q4'20</v>
      </c>
      <c r="AY19" s="588" t="str">
        <f>CONCATENATE("Q1'",$AX$8 + 1+IF($AN$19&lt;MONTH(--(LEFT($H$9,3)&amp;" 1, 2017")),1,0))</f>
        <v>Q1'21</v>
      </c>
      <c r="AZ19" s="588" t="str">
        <f>CONCATENATE("Q2'",$AX$8 +1+ IF($AN$19&lt;MONTH(--(LEFT($H$9,3)&amp;" 1, 2017")),1,0))</f>
        <v>Q2'21</v>
      </c>
      <c r="BA19" s="588" t="str">
        <f>CONCATENATE("Q3'",$AX$8 + 1+IF($AN$19&lt;MONTH(--(LEFT($H$9,3)&amp;" 1, 2017")),1,0))</f>
        <v>Q3'21</v>
      </c>
      <c r="BB19" s="588" t="str">
        <f>CONCATENATE("Q4'",$AX$8 + 1+IF($AN$19&lt;MONTH(--(LEFT($H$9,3)&amp;" 1, 2017")),1,0))</f>
        <v>Q4'21</v>
      </c>
      <c r="BC19" s="588" t="str">
        <f>CONCATENATE("1H'",$AX$8+1 + IF($AN$19&lt;MONTH(--(LEFT($H$9,3)&amp;" 1, 2017")),1,0))</f>
        <v>1H'21</v>
      </c>
      <c r="BD19" s="588" t="str">
        <f>CONCATENATE("Cal",$AX$8+1 + IF($AN$19&lt;MONTH(--(LEFT($H$9,3)&amp;" 1, 2017")),1,0))</f>
        <v>Cal21</v>
      </c>
      <c r="BE19" s="589" t="str">
        <f>CONCATENATE("Cal",$AX$8+1 +1+ IF($AN$19&lt;MONTH(--(LEFT($H$9,3)&amp;" 1, 2017")),1,0))</f>
        <v>Cal22</v>
      </c>
      <c r="BL19" s="367"/>
      <c r="BM19" s="340" t="s">
        <v>237</v>
      </c>
      <c r="BN19" s="350"/>
      <c r="BO19" s="353"/>
      <c r="BP19" s="340" t="s">
        <v>153</v>
      </c>
      <c r="BQ19" s="350">
        <f t="shared" si="1"/>
        <v>76.849999999999952</v>
      </c>
      <c r="BR19" s="353">
        <f t="shared" si="2"/>
        <v>76.949999999999946</v>
      </c>
      <c r="BS19" s="3"/>
      <c r="BT19" s="3"/>
      <c r="BU19" s="348"/>
      <c r="BW19" s="346"/>
      <c r="BX19" s="398">
        <v>5</v>
      </c>
      <c r="BY19" s="398">
        <v>5</v>
      </c>
      <c r="BZ19" s="399"/>
      <c r="CA19" s="398">
        <v>5</v>
      </c>
      <c r="CB19" s="398">
        <v>5</v>
      </c>
      <c r="CC19" s="399"/>
      <c r="CD19" s="367"/>
    </row>
    <row r="20" spans="2:82" ht="18" thickBot="1" x14ac:dyDescent="0.35">
      <c r="B20" s="494" t="str">
        <f>TEXT(EOMONTH(DATEVALUE(LEFT($H$9,3)&amp;" 1, 2020"),11),"mmm")</f>
        <v>Nov</v>
      </c>
      <c r="C20" s="419" t="e">
        <f>AVERAGE(D20:E20)</f>
        <v>#DIV/0!</v>
      </c>
      <c r="D20" s="424" t="str">
        <f>_xll.BDP("SCO12 Comdty","BID")</f>
        <v>#N/A Connection</v>
      </c>
      <c r="E20" s="408" t="str">
        <f>_xll.BDP("SCO13 Comdty","ASK")</f>
        <v>#N/A Connection</v>
      </c>
      <c r="F20" s="308"/>
      <c r="G20" s="230"/>
      <c r="H20" s="474" t="s">
        <v>129</v>
      </c>
      <c r="I20" s="229"/>
      <c r="J20" s="454">
        <v>80.54999999999994</v>
      </c>
      <c r="K20" s="190"/>
      <c r="L20" s="190"/>
      <c r="M20" s="477" t="str">
        <f>CONCATENATE(LEFT($H$10,3),"/",INDEX($AS$9:$AS$21,MATCH(LEFT($H$10,3),$AP$9:$AP$21,0)))</f>
        <v>Jan/Apr</v>
      </c>
      <c r="N20" s="131">
        <f>$J$10-$J$13</f>
        <v>3.3999999999999915</v>
      </c>
      <c r="O20" s="553"/>
      <c r="R20" s="525" t="str">
        <f>M11</f>
        <v>Dec/Mar</v>
      </c>
      <c r="S20" s="131">
        <f>(W9-W12)</f>
        <v>1.9000000000000057</v>
      </c>
      <c r="T20" s="533"/>
      <c r="U20" s="622" t="str">
        <f t="shared" si="4"/>
        <v>Feb 20</v>
      </c>
      <c r="V20" s="559">
        <v>25</v>
      </c>
      <c r="W20" s="510"/>
      <c r="X20" s="189"/>
      <c r="Y20" s="190"/>
      <c r="Z20" s="516"/>
      <c r="AA20" s="189"/>
      <c r="AD20" s="88"/>
      <c r="AE20" s="109" t="e">
        <f>"CN62_"&amp;VLOOKUP(LEFT(#REF!,2),$AG$24:$AH$27,2,FALSE)&amp;RIGHT(#REF!,2)</f>
        <v>#REF!</v>
      </c>
      <c r="AF20" s="89"/>
      <c r="AG20" s="90" t="s">
        <v>44</v>
      </c>
      <c r="AH20" s="90" t="s">
        <v>45</v>
      </c>
      <c r="AI20" s="109" t="e">
        <f ca="1">PLContribFull(#REF!,"BID",AE20,"SLOT41","TICKER",2)</f>
        <v>#NAME?</v>
      </c>
      <c r="AJ20" s="109" t="e">
        <f ca="1">PLContribFull(#REF!,"ASK",AE20,"SLOT41","TICKER",2)</f>
        <v>#NAME?</v>
      </c>
      <c r="AK20" s="89"/>
      <c r="AL20" s="105"/>
      <c r="AN20" s="587">
        <v>11</v>
      </c>
      <c r="AO20" s="588" t="s">
        <v>74</v>
      </c>
      <c r="AP20" s="588" t="s">
        <v>75</v>
      </c>
      <c r="AQ20" s="588" t="s">
        <v>76</v>
      </c>
      <c r="AR20" s="588" t="s">
        <v>77</v>
      </c>
      <c r="AS20" s="588" t="s">
        <v>78</v>
      </c>
      <c r="AT20" s="588" t="s">
        <v>10</v>
      </c>
      <c r="AU20" s="588" t="s">
        <v>182</v>
      </c>
      <c r="AV20" s="588" t="s">
        <v>289</v>
      </c>
      <c r="AW20" s="588" t="s">
        <v>290</v>
      </c>
      <c r="AX20" s="588" t="str">
        <f>CONCATENATE("Q1'",$AX$8 +1+IF($AN$20&lt;MONTH(--(LEFT($H$9,3)&amp;" 1, 2017")),1,0))</f>
        <v>Q1'21</v>
      </c>
      <c r="AY20" s="588" t="str">
        <f>CONCATENATE("Q2'",$AX$8+1 + IF($AN$20&lt;MONTH(--(LEFT($H$9,3)&amp;" 1, 2017")),1,0))</f>
        <v>Q2'21</v>
      </c>
      <c r="AZ20" s="588" t="str">
        <f>CONCATENATE("Q3'",$AX$8+1 + IF($AN$20&lt;MONTH(--(LEFT($H$9,3)&amp;" 1, 2017")),1,0))</f>
        <v>Q3'21</v>
      </c>
      <c r="BA20" s="588" t="str">
        <f>CONCATENATE("Q4'",$AX$8+1 + IF($AN$20&lt;MONTH(--(LEFT($H$9,3)&amp;" 1, 2017")),1,0))</f>
        <v>Q4'21</v>
      </c>
      <c r="BB20" s="588" t="str">
        <f>CONCATENATE("Q1'",$AX$8+2 + IF($AN$20&lt;MONTH(--(LEFT($H$9,3)&amp;" 1, 2017")),1,0))</f>
        <v>Q1'22</v>
      </c>
      <c r="BC20" s="588" t="str">
        <f>CONCATENATE("1H'",$AX$8+1 + IF($AN$20&lt;MONTH(--(LEFT($H$9,3)&amp;" 1, 2017")),1,0))</f>
        <v>1H'21</v>
      </c>
      <c r="BD20" s="588" t="str">
        <f>CONCATENATE("Cal",$AX$8+1 + IF($AN$20&lt;MONTH(--(LEFT($H$9,3)&amp;" 1, 2017")),1,0))</f>
        <v>Cal21</v>
      </c>
      <c r="BE20" s="589" t="str">
        <f>CONCATENATE("Cal",$AX$8+1 +1+ IF($AN$20&lt;MONTH(--(LEFT($H$9,3)&amp;" 1, 2017")),1,0))</f>
        <v>Cal22</v>
      </c>
      <c r="BL20" s="367"/>
      <c r="BM20" s="340" t="s">
        <v>197</v>
      </c>
      <c r="BN20" s="350"/>
      <c r="BO20" s="353"/>
      <c r="BP20" s="340" t="s">
        <v>154</v>
      </c>
      <c r="BQ20" s="350">
        <f t="shared" si="1"/>
        <v>74.599999999999952</v>
      </c>
      <c r="BR20" s="353">
        <f t="shared" si="2"/>
        <v>74.699999999999946</v>
      </c>
      <c r="BS20" s="3"/>
      <c r="BT20" s="3"/>
      <c r="BU20" s="348"/>
      <c r="BW20" s="346"/>
      <c r="BX20" s="398">
        <v>5</v>
      </c>
      <c r="BY20" s="398">
        <v>5</v>
      </c>
      <c r="BZ20" s="399"/>
      <c r="CA20" s="398">
        <v>5</v>
      </c>
      <c r="CB20" s="398">
        <v>5</v>
      </c>
      <c r="CC20" s="399"/>
      <c r="CD20" s="367"/>
    </row>
    <row r="21" spans="2:82" ht="16.5" customHeight="1" x14ac:dyDescent="0.3">
      <c r="B21" s="494" t="str">
        <f>TEXT(EOMONTH(DATEVALUE(LEFT($H$9,3)&amp;" 1, 2020"),12),"mmm")</f>
        <v>Dec</v>
      </c>
      <c r="C21" s="419" t="e">
        <f>AVERAGE(D21:E21)</f>
        <v>#DIV/0!</v>
      </c>
      <c r="D21" s="424" t="str">
        <f>_xll.BDP("SCO13 Comdty","BID")</f>
        <v>#N/A Connection</v>
      </c>
      <c r="E21" s="408" t="str">
        <f>_xll.BDP("SCO14 Comdty","ASK")</f>
        <v>#N/A Connection</v>
      </c>
      <c r="F21" s="230"/>
      <c r="G21" s="230"/>
      <c r="H21" s="474" t="s">
        <v>152</v>
      </c>
      <c r="I21" s="229"/>
      <c r="J21" s="454">
        <v>78.599999999999937</v>
      </c>
      <c r="K21" s="190"/>
      <c r="L21" s="190"/>
      <c r="M21" s="477" t="str">
        <f>CONCATENATE(LEFT($H$10,3),"/",INDEX($AX$9:$AX$21,MATCH(LEFT($H$10,3),$AP$9:$AP$21,0)))</f>
        <v>Jan/Q1'20</v>
      </c>
      <c r="N21" s="131">
        <f>J10-J17</f>
        <v>1.0999999999999943</v>
      </c>
      <c r="O21" s="553"/>
      <c r="R21" s="525" t="str">
        <f>M12</f>
        <v>Dec/Q1'20</v>
      </c>
      <c r="S21" s="131">
        <f>(W9-W14)</f>
        <v>1.1500000000000057</v>
      </c>
      <c r="T21" s="533"/>
      <c r="U21" s="268"/>
      <c r="V21" s="269"/>
      <c r="W21" s="510"/>
      <c r="X21" s="189"/>
      <c r="Y21" s="190"/>
      <c r="Z21" s="516"/>
      <c r="AA21" s="189"/>
      <c r="AB21" s="79"/>
      <c r="AD21" s="88" t="s">
        <v>47</v>
      </c>
      <c r="AE21" s="298" t="e">
        <f>"CN62_Y"&amp;RIGHT(#REF!,2)</f>
        <v>#REF!</v>
      </c>
      <c r="AF21" s="89"/>
      <c r="AG21" s="90" t="s">
        <v>48</v>
      </c>
      <c r="AH21" s="90" t="s">
        <v>49</v>
      </c>
      <c r="AI21" s="298" t="e">
        <f ca="1">PLContribFull(#REF!,"BID",AE21,"SLOT41","TICKER",2)</f>
        <v>#NAME?</v>
      </c>
      <c r="AJ21" s="298" t="e">
        <f ca="1">PLContribFull(#REF!,"ASK",AE21,"SLOT41","TICKER",2)</f>
        <v>#NAME?</v>
      </c>
      <c r="AK21" s="298"/>
      <c r="AL21" s="105"/>
      <c r="AN21" s="587">
        <v>12</v>
      </c>
      <c r="AO21" s="588" t="s">
        <v>75</v>
      </c>
      <c r="AP21" s="588" t="s">
        <v>76</v>
      </c>
      <c r="AQ21" s="588" t="s">
        <v>77</v>
      </c>
      <c r="AR21" s="588" t="s">
        <v>78</v>
      </c>
      <c r="AS21" s="588" t="s">
        <v>10</v>
      </c>
      <c r="AT21" s="588" t="s">
        <v>182</v>
      </c>
      <c r="AU21" s="588" t="s">
        <v>289</v>
      </c>
      <c r="AV21" s="588" t="s">
        <v>290</v>
      </c>
      <c r="AW21" s="588" t="s">
        <v>183</v>
      </c>
      <c r="AX21" s="588" t="str">
        <f>CONCATENATE("Q1'",$AX$8 +1+IF($AN$21&lt;MONTH(--(LEFT($H$9,3)&amp;" 1, 2017")),1,0))</f>
        <v>Q1'20</v>
      </c>
      <c r="AY21" s="588" t="str">
        <f>CONCATENATE("Q2'",$AX$8+1 + IF($AN$21&lt;MONTH(--(LEFT($H$9,3)&amp;" 1, 2017")),1,0))</f>
        <v>Q2'20</v>
      </c>
      <c r="AZ21" s="588" t="str">
        <f>CONCATENATE("Q3'",$AX$8+1 + IF($AN$21&lt;MONTH(--(LEFT($H$9,3)&amp;" 1, 2017")),1,0))</f>
        <v>Q3'20</v>
      </c>
      <c r="BA21" s="588" t="str">
        <f>CONCATENATE("Q4'",$AX$8+1 + IF($AN$21&lt;MONTH(--(LEFT($H$9,3)&amp;" 1, 2017")),1,0))</f>
        <v>Q4'20</v>
      </c>
      <c r="BB21" s="588" t="str">
        <f>CONCATENATE("Q1'",$AX$8+2 + IF($AN$21&lt;MONTH(--(LEFT($H$9,3)&amp;" 1, 2017")),1,0))</f>
        <v>Q1'21</v>
      </c>
      <c r="BC21" s="588" t="str">
        <f>CONCATENATE("1H'",$AX$8+1 + IF($AN$21&lt;MONTH(--(LEFT($H$9,3)&amp;" 1, 2017")),1,0))</f>
        <v>1H'20</v>
      </c>
      <c r="BD21" s="588" t="str">
        <f>CONCATENATE("Cal",$AX$8+1 + IF($AN$21&lt;MONTH(--(LEFT($H$9,3)&amp;" 1, 2017")),1,0))</f>
        <v>Cal20</v>
      </c>
      <c r="BE21" s="589" t="str">
        <f>CONCATENATE("Cal",$AX$8+1 +1+ IF($AN$21&lt;MONTH(--(LEFT($H$9,3)&amp;" 1, 2017")),1,0))</f>
        <v>Cal21</v>
      </c>
      <c r="BL21" s="367"/>
      <c r="BM21" s="340" t="s">
        <v>198</v>
      </c>
      <c r="BN21" s="350"/>
      <c r="BO21" s="353"/>
      <c r="BP21" s="340" t="s">
        <v>150</v>
      </c>
      <c r="BQ21" s="350"/>
      <c r="BR21" s="353"/>
      <c r="BS21" s="3"/>
      <c r="BT21" s="3"/>
      <c r="BU21" s="348"/>
      <c r="BW21" s="346"/>
      <c r="BX21" s="398">
        <v>5</v>
      </c>
      <c r="BY21" s="398">
        <v>5</v>
      </c>
      <c r="BZ21" s="399"/>
      <c r="CA21" s="398">
        <v>5</v>
      </c>
      <c r="CB21" s="398">
        <v>5</v>
      </c>
      <c r="CC21" s="399"/>
      <c r="CD21" s="367"/>
    </row>
    <row r="22" spans="2:82" ht="18" customHeight="1" thickBot="1" x14ac:dyDescent="0.35">
      <c r="B22" s="494" t="str">
        <f>TEXT(EOMONTH(DATEVALUE(LEFT($H$9,3)&amp;" 1, 2020"),13),"mmm")</f>
        <v>Jan</v>
      </c>
      <c r="C22" s="419" t="e">
        <f>AVERAGE(D22:E22)</f>
        <v>#DIV/0!</v>
      </c>
      <c r="D22" s="424" t="str">
        <f>_xll.BDP("SCO14 Comdty","BID")</f>
        <v>#N/A Connection</v>
      </c>
      <c r="E22" s="408" t="str">
        <f>_xll.BDP("SCO15 Comdty","ASK")</f>
        <v>#N/A Connection</v>
      </c>
      <c r="F22" s="230"/>
      <c r="G22" s="231"/>
      <c r="H22" s="474" t="s">
        <v>153</v>
      </c>
      <c r="I22" s="229"/>
      <c r="J22" s="454">
        <v>76.899999999999949</v>
      </c>
      <c r="K22" s="190"/>
      <c r="L22" s="190"/>
      <c r="M22" s="477" t="str">
        <f>CONCATENATE(LEFT($H$10,3),"/",INDEX($AY$9:$AY$21,MATCH(LEFT($H$10,3),$AP$9:$AP$21,0)))</f>
        <v>Jan/Q2'20</v>
      </c>
      <c r="N22" s="131">
        <f>J10-J18</f>
        <v>4.4499999999999886</v>
      </c>
      <c r="O22" s="553"/>
      <c r="R22" s="479" t="str">
        <f>M13</f>
        <v>Dec/Q2'20</v>
      </c>
      <c r="S22" s="132">
        <f>(W9-W15)</f>
        <v>2.8499999999999943</v>
      </c>
      <c r="T22" s="549" t="e">
        <f t="shared" ref="T22" si="5">AVERAGE(T19:T21)</f>
        <v>#DIV/0!</v>
      </c>
      <c r="U22" s="268"/>
      <c r="V22" s="269"/>
      <c r="W22" s="510"/>
      <c r="X22" s="189"/>
      <c r="Y22" s="190"/>
      <c r="Z22" s="516"/>
      <c r="AA22" s="189"/>
      <c r="AD22" s="93"/>
      <c r="AE22" s="109" t="e">
        <f>"CN62_Y"&amp;RIGHT(#REF!,2)</f>
        <v>#REF!</v>
      </c>
      <c r="AF22" s="89"/>
      <c r="AG22" s="89"/>
      <c r="AH22" s="89"/>
      <c r="AI22" s="89" t="e">
        <f ca="1">PLContribFull(#REF!,"BID",AE22,"SLOT41","TICKER",2)</f>
        <v>#NAME?</v>
      </c>
      <c r="AJ22" s="89" t="e">
        <f ca="1">PLContribFull(#REF!,"ASK",AE22,"SLOT41","TICKER",2)</f>
        <v>#NAME?</v>
      </c>
      <c r="AK22" s="89"/>
      <c r="AL22" s="105"/>
      <c r="AN22" s="93"/>
      <c r="AO22" s="482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5"/>
      <c r="BL22" s="367"/>
      <c r="BM22" s="340" t="s">
        <v>199</v>
      </c>
      <c r="BN22" s="351">
        <f t="shared" ref="BN22:BN29" si="6">J9-0.05</f>
        <v>92.54999999999994</v>
      </c>
      <c r="BO22" s="354">
        <f t="shared" ref="BO22:BO29" si="7">J9+0.05</f>
        <v>92.649999999999935</v>
      </c>
      <c r="BP22" s="340" t="s">
        <v>200</v>
      </c>
      <c r="BQ22" s="350"/>
      <c r="BR22" s="353"/>
      <c r="BS22" s="3"/>
      <c r="BT22" s="3"/>
      <c r="BU22" s="348"/>
      <c r="BW22" s="346"/>
      <c r="BX22" s="398">
        <v>5</v>
      </c>
      <c r="BY22" s="398">
        <v>5</v>
      </c>
      <c r="BZ22" s="399"/>
      <c r="CA22" s="398">
        <v>5</v>
      </c>
      <c r="CB22" s="398">
        <v>5</v>
      </c>
      <c r="CC22" s="399"/>
      <c r="CD22" s="367"/>
    </row>
    <row r="23" spans="2:82" ht="18.75" thickTop="1" thickBot="1" x14ac:dyDescent="0.35">
      <c r="B23" s="426" t="str">
        <f>LEFT(H17,2)</f>
        <v>Q1</v>
      </c>
      <c r="C23" s="389" t="e">
        <f>AVERAGE(D9:E11)</f>
        <v>#DIV/0!</v>
      </c>
      <c r="D23" s="427" t="e">
        <f>AVERAGE(D11:D13)</f>
        <v>#DIV/0!</v>
      </c>
      <c r="E23" s="427" t="e">
        <f>AVERAGE(E11:E13)</f>
        <v>#DIV/0!</v>
      </c>
      <c r="F23" s="231"/>
      <c r="G23" s="228"/>
      <c r="H23" s="473" t="s">
        <v>154</v>
      </c>
      <c r="I23" s="431"/>
      <c r="J23" s="455">
        <v>74.649999999999949</v>
      </c>
      <c r="K23" s="190"/>
      <c r="L23" s="190"/>
      <c r="M23" s="477" t="str">
        <f>CONCATENATE(LEFT($H$10,3),"/",INDEX($AZ$9:$AZ$21,MATCH(LEFT($H$10,3),$AP$9:$AP$21,0)))</f>
        <v>Jan/Q3'20</v>
      </c>
      <c r="N23" s="131">
        <f>J10-J19</f>
        <v>7.8999999999999915</v>
      </c>
      <c r="O23" s="553"/>
      <c r="R23" s="526" t="str">
        <f>M18</f>
        <v>Jan/Feb</v>
      </c>
      <c r="S23" s="527">
        <f>W10-W11</f>
        <v>0.20000000000000284</v>
      </c>
      <c r="T23" s="533"/>
      <c r="U23" s="654" t="s">
        <v>324</v>
      </c>
      <c r="V23" s="655"/>
      <c r="W23" s="510"/>
      <c r="X23" s="189"/>
      <c r="Y23" s="190"/>
      <c r="Z23" s="516"/>
      <c r="AA23" s="189"/>
      <c r="AD23" s="93"/>
      <c r="AE23" s="109" t="e">
        <f>"CN62_Y"&amp;RIGHT(#REF!,2)</f>
        <v>#REF!</v>
      </c>
      <c r="AF23" s="89"/>
      <c r="AG23" s="94" t="s">
        <v>51</v>
      </c>
      <c r="AH23" s="89"/>
      <c r="AI23" s="89" t="e">
        <f ca="1">PLContribFull(#REF!,"BID",AE23,"SLOT41","TICKER",2)</f>
        <v>#NAME?</v>
      </c>
      <c r="AJ23" s="89" t="e">
        <f ca="1">PLContribFull(#REF!,"ASK",AE23,"SLOT41","TICKER",2)</f>
        <v>#NAME?</v>
      </c>
      <c r="AK23" s="89"/>
      <c r="AL23" s="105"/>
      <c r="AN23" s="93"/>
      <c r="AO23" s="482"/>
      <c r="AP23" s="109"/>
      <c r="AQ23" s="109"/>
      <c r="AR23" s="94"/>
      <c r="AS23" s="94"/>
      <c r="AT23" s="94"/>
      <c r="AU23" s="94"/>
      <c r="AV23" s="94"/>
      <c r="AW23" s="94"/>
      <c r="AX23" s="109"/>
      <c r="AY23" s="109"/>
      <c r="AZ23" s="109"/>
      <c r="BA23" s="109"/>
      <c r="BB23" s="109"/>
      <c r="BC23" s="109"/>
      <c r="BD23" s="109"/>
      <c r="BE23" s="105"/>
      <c r="BL23" s="367"/>
      <c r="BM23" s="340" t="s">
        <v>201</v>
      </c>
      <c r="BN23" s="351">
        <f t="shared" si="6"/>
        <v>91.04999999999994</v>
      </c>
      <c r="BO23" s="354">
        <f t="shared" si="7"/>
        <v>91.149999999999935</v>
      </c>
      <c r="BP23" s="340" t="s">
        <v>202</v>
      </c>
      <c r="BQ23" s="350"/>
      <c r="BR23" s="354"/>
      <c r="BS23" s="3"/>
      <c r="BT23" s="3"/>
      <c r="BU23" s="348"/>
      <c r="BW23" s="346"/>
      <c r="BX23" s="398">
        <v>5</v>
      </c>
      <c r="BY23" s="398">
        <v>5</v>
      </c>
      <c r="BZ23" s="399"/>
      <c r="CA23" s="398">
        <v>5</v>
      </c>
      <c r="CB23" s="398">
        <v>5</v>
      </c>
      <c r="CC23" s="399"/>
      <c r="CD23" s="367"/>
    </row>
    <row r="24" spans="2:82" ht="17.25" x14ac:dyDescent="0.3">
      <c r="B24" s="426" t="str">
        <f>LEFT(H18,2)</f>
        <v>Q2</v>
      </c>
      <c r="C24" s="389" t="e">
        <f>AVERAGE(D12:E14)</f>
        <v>#DIV/0!</v>
      </c>
      <c r="D24" s="427" t="e">
        <f>AVERAGE(D14:D16)</f>
        <v>#DIV/0!</v>
      </c>
      <c r="E24" s="427" t="e">
        <f>AVERAGE(E14:E16)</f>
        <v>#DIV/0!</v>
      </c>
      <c r="F24" s="228"/>
      <c r="G24" s="230"/>
      <c r="H24" s="475" t="s">
        <v>55</v>
      </c>
      <c r="I24" s="229"/>
      <c r="J24" s="454">
        <v>85.099999999999937</v>
      </c>
      <c r="K24" s="365">
        <f>AVERAGE(J17:J20)</f>
        <v>85.099999999999952</v>
      </c>
      <c r="L24" s="220"/>
      <c r="M24" s="477" t="str">
        <f>CONCATENATE(LEFT($H$10,3),"/",INDEX($BA$9:$BA$21,MATCH(LEFT($H$10,3),$AP$9:$AP$21,0)))</f>
        <v>Jan/Q4'20</v>
      </c>
      <c r="N24" s="131">
        <f>J10-J20</f>
        <v>10.549999999999997</v>
      </c>
      <c r="O24" s="553"/>
      <c r="R24" s="525" t="str">
        <f>M19</f>
        <v>Jan/Mar</v>
      </c>
      <c r="S24" s="131">
        <f>W10-W12</f>
        <v>0.95000000000000284</v>
      </c>
      <c r="T24" s="533"/>
      <c r="U24" s="620" t="str">
        <f>R18</f>
        <v>Dec/Jan</v>
      </c>
      <c r="V24" s="557">
        <f>V18-V19</f>
        <v>-0.5</v>
      </c>
      <c r="W24" s="76"/>
      <c r="X24" s="189"/>
      <c r="Z24" s="516"/>
      <c r="AA24" s="189"/>
      <c r="AD24" s="95"/>
      <c r="AE24" s="89"/>
      <c r="AF24" s="89"/>
      <c r="AG24" s="90" t="s">
        <v>53</v>
      </c>
      <c r="AH24" s="90" t="s">
        <v>54</v>
      </c>
      <c r="AI24" s="89"/>
      <c r="AJ24" s="89"/>
      <c r="AK24" s="89"/>
      <c r="AL24" s="105"/>
      <c r="AN24" s="95"/>
      <c r="AO24" s="483"/>
      <c r="AP24" s="109"/>
      <c r="AQ24" s="109"/>
      <c r="AR24" s="90"/>
      <c r="AS24" s="90"/>
      <c r="AT24" s="90"/>
      <c r="AU24" s="90"/>
      <c r="AV24" s="90"/>
      <c r="AW24" s="90"/>
      <c r="AX24" s="90"/>
      <c r="AY24" s="109"/>
      <c r="AZ24" s="109"/>
      <c r="BA24" s="109"/>
      <c r="BB24" s="109"/>
      <c r="BC24" s="109"/>
      <c r="BD24" s="109"/>
      <c r="BE24" s="105"/>
      <c r="BL24" s="367"/>
      <c r="BM24" s="340" t="s">
        <v>203</v>
      </c>
      <c r="BN24" s="351">
        <f t="shared" si="6"/>
        <v>89.999999999999943</v>
      </c>
      <c r="BO24" s="354">
        <f t="shared" si="7"/>
        <v>90.099999999999937</v>
      </c>
      <c r="BP24" s="340" t="s">
        <v>204</v>
      </c>
      <c r="BQ24" s="350"/>
      <c r="BR24" s="354"/>
      <c r="BS24" s="3"/>
      <c r="BT24" s="3"/>
      <c r="BU24" s="348"/>
      <c r="BW24" s="346"/>
      <c r="BX24" s="398">
        <v>5</v>
      </c>
      <c r="BY24" s="398">
        <v>5</v>
      </c>
      <c r="BZ24" s="399"/>
      <c r="CA24" s="398">
        <v>5</v>
      </c>
      <c r="CB24" s="398">
        <v>5</v>
      </c>
      <c r="CC24" s="399"/>
      <c r="CD24" s="367"/>
    </row>
    <row r="25" spans="2:82" ht="18" thickBot="1" x14ac:dyDescent="0.35">
      <c r="B25" s="428" t="str">
        <f>LEFT(H19,2)</f>
        <v>Q3</v>
      </c>
      <c r="C25" s="425" t="e">
        <f>AVERAGE(D15:E17)</f>
        <v>#DIV/0!</v>
      </c>
      <c r="D25" s="429" t="e">
        <f>AVERAGE(D15:D17)</f>
        <v>#DIV/0!</v>
      </c>
      <c r="E25" s="429" t="e">
        <f>AVERAGE(E15:E17)</f>
        <v>#DIV/0!</v>
      </c>
      <c r="F25" s="230"/>
      <c r="G25" s="230"/>
      <c r="H25" s="475" t="s">
        <v>149</v>
      </c>
      <c r="I25" s="229"/>
      <c r="J25" s="454">
        <v>76.29999999999994</v>
      </c>
      <c r="K25" s="366"/>
      <c r="L25" s="220"/>
      <c r="M25" s="477" t="str">
        <f>CONCATENATE(LEFT($H$10,3),"/",INDEX($BC$9:$BC$21,MATCH(LEFT($H$10,3),$AP$9:$AP$21,0)))</f>
        <v>Jan/1H'20</v>
      </c>
      <c r="N25" s="131">
        <f>J10-AVERAGE(J18:J19)</f>
        <v>6.1749999999999829</v>
      </c>
      <c r="O25" s="553"/>
      <c r="R25" s="525" t="str">
        <f>M20</f>
        <v>Jan/Apr</v>
      </c>
      <c r="S25" s="131">
        <f>W10-W13</f>
        <v>1.5</v>
      </c>
      <c r="T25" s="533"/>
      <c r="U25" s="622" t="str">
        <f>R23</f>
        <v>Jan/Feb</v>
      </c>
      <c r="V25" s="559">
        <f>V19-V20</f>
        <v>0.25</v>
      </c>
      <c r="W25" s="76"/>
      <c r="X25" s="189"/>
      <c r="Z25" s="516"/>
      <c r="AA25" s="189"/>
      <c r="AD25" s="96"/>
      <c r="AE25" s="89"/>
      <c r="AF25" s="97"/>
      <c r="AG25" s="90" t="s">
        <v>5</v>
      </c>
      <c r="AH25" s="90" t="s">
        <v>56</v>
      </c>
      <c r="AI25" s="89"/>
      <c r="AJ25" s="89"/>
      <c r="AK25" s="89"/>
      <c r="AL25" s="105"/>
      <c r="AN25" s="96"/>
      <c r="AO25" s="91"/>
      <c r="AP25" s="109"/>
      <c r="AQ25" s="97"/>
      <c r="AR25" s="90"/>
      <c r="AS25" s="90"/>
      <c r="AT25" s="90"/>
      <c r="AU25" s="90"/>
      <c r="AV25" s="90"/>
      <c r="AW25" s="90"/>
      <c r="AX25" s="90"/>
      <c r="AY25" s="109"/>
      <c r="AZ25" s="109"/>
      <c r="BA25" s="109"/>
      <c r="BB25" s="109"/>
      <c r="BC25" s="109"/>
      <c r="BD25" s="109"/>
      <c r="BE25" s="105"/>
      <c r="BL25" s="367"/>
      <c r="BM25" s="340" t="s">
        <v>190</v>
      </c>
      <c r="BN25" s="351">
        <f t="shared" si="6"/>
        <v>88.749999999999943</v>
      </c>
      <c r="BO25" s="354">
        <f t="shared" si="7"/>
        <v>88.849999999999937</v>
      </c>
      <c r="BP25" s="340" t="s">
        <v>205</v>
      </c>
      <c r="BQ25" s="350"/>
      <c r="BR25" s="354"/>
      <c r="BS25" s="3"/>
      <c r="BT25" s="3"/>
      <c r="BU25" s="348"/>
      <c r="BW25" s="346"/>
      <c r="BX25" s="398">
        <v>5</v>
      </c>
      <c r="BY25" s="398">
        <v>5</v>
      </c>
      <c r="BZ25" s="399"/>
      <c r="CA25" s="398">
        <v>5</v>
      </c>
      <c r="CB25" s="398">
        <v>5</v>
      </c>
      <c r="CC25" s="399"/>
      <c r="CD25" s="367"/>
    </row>
    <row r="26" spans="2:82" ht="18" thickBot="1" x14ac:dyDescent="0.35">
      <c r="B26" s="426" t="str">
        <f>LEFT(H20,2)</f>
        <v>Q4</v>
      </c>
      <c r="C26" s="389" t="e">
        <f>AVERAGE(D18:E20)</f>
        <v>#DIV/0!</v>
      </c>
      <c r="D26" s="427" t="e">
        <f>AVERAGE(D18:D20)</f>
        <v>#DIV/0!</v>
      </c>
      <c r="E26" s="427" t="e">
        <f>AVERAGE(E18:E20)</f>
        <v>#DIV/0!</v>
      </c>
      <c r="F26" s="230"/>
      <c r="G26" s="230"/>
      <c r="H26" s="476" t="s">
        <v>188</v>
      </c>
      <c r="I26" s="303"/>
      <c r="J26" s="456">
        <v>71.249999999999943</v>
      </c>
      <c r="K26" s="366"/>
      <c r="M26" s="479" t="str">
        <f>CONCATENATE(LEFT($H$10,3),"/",INDEX($BD$9:$BD$21,MATCH(LEFT($H$10,3),$AP$9:$AP$21,0)))</f>
        <v>Jan/Cal20</v>
      </c>
      <c r="N26" s="132">
        <f>J10-J24</f>
        <v>6</v>
      </c>
      <c r="O26" s="553"/>
      <c r="R26" s="525" t="str">
        <f>M21</f>
        <v>Jan/Q1'20</v>
      </c>
      <c r="S26" s="131">
        <f>W10-W14</f>
        <v>0.20000000000000284</v>
      </c>
      <c r="T26" s="533"/>
      <c r="U26" s="623"/>
      <c r="V26" s="465"/>
      <c r="W26" s="76"/>
      <c r="X26" s="189"/>
      <c r="Z26" s="516"/>
      <c r="AA26" s="189"/>
      <c r="AD26" s="96"/>
      <c r="AE26" s="89"/>
      <c r="AF26" s="89"/>
      <c r="AG26" s="90" t="s">
        <v>57</v>
      </c>
      <c r="AH26" s="90" t="s">
        <v>58</v>
      </c>
      <c r="AI26" s="89"/>
      <c r="AJ26" s="89"/>
      <c r="AK26" s="89"/>
      <c r="AL26" s="105"/>
      <c r="AN26" s="96"/>
      <c r="AO26" s="91"/>
      <c r="AP26" s="109"/>
      <c r="AQ26" s="109"/>
      <c r="AR26" s="90"/>
      <c r="AS26" s="90"/>
      <c r="AT26" s="90"/>
      <c r="AU26" s="90"/>
      <c r="AV26" s="90"/>
      <c r="AW26" s="90"/>
      <c r="AX26" s="90"/>
      <c r="AY26" s="109"/>
      <c r="AZ26" s="109"/>
      <c r="BA26" s="109"/>
      <c r="BB26" s="109"/>
      <c r="BC26" s="109"/>
      <c r="BD26" s="109"/>
      <c r="BE26" s="105"/>
      <c r="BL26" s="367"/>
      <c r="BM26" s="340" t="s">
        <v>192</v>
      </c>
      <c r="BN26" s="351">
        <f>J13-0.05</f>
        <v>87.649999999999949</v>
      </c>
      <c r="BO26" s="354">
        <f>J13+0.05</f>
        <v>87.749999999999943</v>
      </c>
      <c r="BP26" s="340"/>
      <c r="BQ26" s="350"/>
      <c r="BR26" s="355"/>
      <c r="BS26" s="3"/>
      <c r="BT26" s="3"/>
      <c r="BU26" s="348"/>
      <c r="BW26" s="346"/>
      <c r="BX26" s="398">
        <v>5</v>
      </c>
      <c r="BY26" s="398"/>
      <c r="BZ26" s="399"/>
      <c r="CA26" s="398">
        <v>5</v>
      </c>
      <c r="CB26" s="398"/>
      <c r="CC26" s="399"/>
      <c r="CD26" s="367"/>
    </row>
    <row r="27" spans="2:82" ht="16.5" thickTop="1" thickBot="1" x14ac:dyDescent="0.3">
      <c r="B27" s="225"/>
      <c r="C27" s="438"/>
      <c r="D27" s="384" t="s">
        <v>132</v>
      </c>
      <c r="E27" s="385">
        <v>0.15</v>
      </c>
      <c r="F27" s="230"/>
      <c r="G27" s="230"/>
      <c r="H27" s="304"/>
      <c r="I27" s="305"/>
      <c r="J27" s="457"/>
      <c r="K27" s="190"/>
      <c r="M27" s="478" t="str">
        <f>CONCATENATE(LEFT($H$11,3),"/",INDEX($AR$9:$AR$21,MATCH(LEFT($H$11,3),$AQ$9:$AQ$21,0)))</f>
        <v>Feb/Mar</v>
      </c>
      <c r="N27" s="337">
        <f>J11-J12</f>
        <v>1.25</v>
      </c>
      <c r="O27" s="553"/>
      <c r="R27" s="479" t="str">
        <f>M22</f>
        <v>Jan/Q2'20</v>
      </c>
      <c r="S27" s="132">
        <f>W10-W15</f>
        <v>1.8999999999999915</v>
      </c>
      <c r="T27" s="533"/>
      <c r="U27" s="268"/>
      <c r="V27" s="269"/>
      <c r="W27" s="76"/>
      <c r="X27" s="189"/>
      <c r="Z27" s="516"/>
      <c r="AA27" s="189"/>
      <c r="AD27" s="96"/>
      <c r="AE27" s="89"/>
      <c r="AF27" s="89"/>
      <c r="AG27" s="90" t="s">
        <v>62</v>
      </c>
      <c r="AH27" s="90" t="s">
        <v>63</v>
      </c>
      <c r="AI27" s="89"/>
      <c r="AJ27" s="89"/>
      <c r="AK27" s="89"/>
      <c r="AL27" s="105"/>
      <c r="AN27" s="96"/>
      <c r="AO27" s="91"/>
      <c r="AP27" s="109"/>
      <c r="AQ27" s="109"/>
      <c r="AR27" s="90"/>
      <c r="AS27" s="90"/>
      <c r="AT27" s="90"/>
      <c r="AU27" s="90"/>
      <c r="AV27" s="90"/>
      <c r="AW27" s="90"/>
      <c r="AX27" s="90"/>
      <c r="AY27" s="109"/>
      <c r="AZ27" s="109"/>
      <c r="BA27" s="109"/>
      <c r="BB27" s="109"/>
      <c r="BC27" s="109"/>
      <c r="BD27" s="109"/>
      <c r="BE27" s="105"/>
      <c r="BL27" s="367"/>
      <c r="BM27" s="340" t="s">
        <v>193</v>
      </c>
      <c r="BN27" s="351">
        <f t="shared" si="6"/>
        <v>86.449999999999946</v>
      </c>
      <c r="BO27" s="354">
        <f t="shared" si="7"/>
        <v>86.54999999999994</v>
      </c>
      <c r="BP27" s="340"/>
      <c r="BQ27" s="350"/>
      <c r="BR27" s="355"/>
      <c r="BS27" s="3"/>
      <c r="BT27" s="3"/>
      <c r="BU27" s="348"/>
      <c r="BW27" s="346"/>
      <c r="BX27" s="398">
        <v>5</v>
      </c>
      <c r="BY27" s="399"/>
      <c r="BZ27" s="399"/>
      <c r="CA27" s="398">
        <v>5</v>
      </c>
      <c r="CB27" s="399"/>
      <c r="CC27" s="399"/>
      <c r="CD27" s="367"/>
    </row>
    <row r="28" spans="2:82" ht="16.5" thickTop="1" thickBot="1" x14ac:dyDescent="0.3">
      <c r="B28" s="390" t="str">
        <f>(H17)</f>
        <v>Q1 20</v>
      </c>
      <c r="C28" s="495" t="e">
        <f>(D23)</f>
        <v>#DIV/0!</v>
      </c>
      <c r="D28" s="466" t="s">
        <v>9</v>
      </c>
      <c r="E28" s="467" t="e">
        <f>(E23)</f>
        <v>#DIV/0!</v>
      </c>
      <c r="F28" s="230"/>
      <c r="G28" s="230"/>
      <c r="H28" s="237" t="s">
        <v>130</v>
      </c>
      <c r="I28" s="238"/>
      <c r="J28" s="458" t="s">
        <v>132</v>
      </c>
      <c r="K28" s="245">
        <v>0.1</v>
      </c>
      <c r="M28" s="477" t="str">
        <f>CONCATENATE(LEFT($H$11,3),"/",INDEX($AS$9:$AS$21,MATCH(LEFT($H$11,3),$AQ$9:$AQ$21,0)))</f>
        <v>Feb/Apr</v>
      </c>
      <c r="N28" s="131">
        <f>J11-J13</f>
        <v>2.3499999999999943</v>
      </c>
      <c r="O28" s="553"/>
      <c r="R28" s="528" t="str">
        <f>M27</f>
        <v>Feb/Mar</v>
      </c>
      <c r="S28" s="131">
        <f>W11-W12</f>
        <v>0.75</v>
      </c>
      <c r="T28" s="533"/>
      <c r="U28" s="268"/>
      <c r="V28" s="269"/>
      <c r="W28" s="76"/>
      <c r="X28" s="189"/>
      <c r="Z28" s="516"/>
      <c r="AA28" s="189"/>
      <c r="AD28" s="98"/>
      <c r="AE28" s="99"/>
      <c r="AF28" s="99"/>
      <c r="AG28" s="100"/>
      <c r="AH28" s="100"/>
      <c r="AI28" s="99"/>
      <c r="AJ28" s="99"/>
      <c r="AK28" s="99"/>
      <c r="AL28" s="106"/>
      <c r="AN28" s="98"/>
      <c r="AO28" s="489"/>
      <c r="AP28" s="99"/>
      <c r="AQ28" s="99"/>
      <c r="AR28" s="100"/>
      <c r="AS28" s="100"/>
      <c r="AT28" s="100"/>
      <c r="AU28" s="100"/>
      <c r="AV28" s="100"/>
      <c r="AW28" s="100"/>
      <c r="AX28" s="100"/>
      <c r="AY28" s="99"/>
      <c r="AZ28" s="99"/>
      <c r="BA28" s="99"/>
      <c r="BB28" s="99"/>
      <c r="BC28" s="99"/>
      <c r="BD28" s="99"/>
      <c r="BE28" s="106"/>
      <c r="BL28" s="367"/>
      <c r="BM28" s="340" t="s">
        <v>194</v>
      </c>
      <c r="BN28" s="351">
        <f t="shared" si="6"/>
        <v>85.649999999999949</v>
      </c>
      <c r="BO28" s="354">
        <f t="shared" si="7"/>
        <v>85.749999999999943</v>
      </c>
      <c r="BP28" s="340"/>
      <c r="BQ28" s="350"/>
      <c r="BR28" s="355"/>
      <c r="BS28" s="3"/>
      <c r="BT28" s="3"/>
      <c r="BU28" s="348"/>
      <c r="BW28" s="346"/>
      <c r="BX28" s="398">
        <v>5</v>
      </c>
      <c r="BY28" s="399"/>
      <c r="BZ28" s="399"/>
      <c r="CA28" s="398">
        <v>5</v>
      </c>
      <c r="CB28" s="399"/>
      <c r="CC28" s="399"/>
      <c r="CD28" s="367"/>
    </row>
    <row r="29" spans="2:82" x14ac:dyDescent="0.25">
      <c r="B29" s="393" t="str">
        <f>(H18)</f>
        <v>Q2 20</v>
      </c>
      <c r="C29" s="496" t="e">
        <f>AVERAGE(C28:E28)-C43-E27</f>
        <v>#DIV/0!</v>
      </c>
      <c r="D29" s="468" t="s">
        <v>9</v>
      </c>
      <c r="E29" s="397" t="e">
        <f>AVERAGE(C28:E28)-C43+E27</f>
        <v>#DIV/0!</v>
      </c>
      <c r="F29" s="230"/>
      <c r="G29" s="230"/>
      <c r="H29" s="239"/>
      <c r="I29" s="224"/>
      <c r="J29" s="459"/>
      <c r="K29" s="236"/>
      <c r="M29" s="477" t="str">
        <f>CONCATENATE(LEFT($H$11,3),"/",INDEX($AT$9:$AT$21,MATCH(LEFT($H$11,3),$AQ$9:$AQ$21,0)))</f>
        <v>Feb/May</v>
      </c>
      <c r="N29" s="131">
        <f>J11-J14</f>
        <v>3.5499999999999972</v>
      </c>
      <c r="O29" s="553"/>
      <c r="R29" s="525" t="str">
        <f>M28</f>
        <v>Feb/Apr</v>
      </c>
      <c r="S29" s="131">
        <f>W11-W13</f>
        <v>1.2999999999999972</v>
      </c>
      <c r="T29" s="533"/>
      <c r="U29" s="268"/>
      <c r="V29" s="269"/>
      <c r="W29" s="76"/>
      <c r="X29" s="189"/>
      <c r="Z29" s="516"/>
      <c r="AA29" s="189"/>
      <c r="AD29" s="101"/>
      <c r="BL29" s="367"/>
      <c r="BM29" s="340" t="s">
        <v>195</v>
      </c>
      <c r="BN29" s="351">
        <f t="shared" si="6"/>
        <v>84.349999999999952</v>
      </c>
      <c r="BO29" s="354">
        <f t="shared" si="7"/>
        <v>84.449999999999946</v>
      </c>
      <c r="BP29" s="340"/>
      <c r="BQ29" s="350"/>
      <c r="BR29" s="355"/>
      <c r="BS29" s="3"/>
      <c r="BT29" s="3"/>
      <c r="BU29" s="348"/>
      <c r="BW29" s="346"/>
      <c r="BX29" s="398">
        <v>5</v>
      </c>
      <c r="BY29" s="399"/>
      <c r="BZ29" s="399"/>
      <c r="CA29" s="398">
        <v>5</v>
      </c>
      <c r="CB29" s="399"/>
      <c r="CC29" s="399"/>
      <c r="CD29" s="367"/>
    </row>
    <row r="30" spans="2:82" x14ac:dyDescent="0.25">
      <c r="B30" s="393" t="str">
        <f t="shared" ref="B30:B32" si="8">(H19)</f>
        <v>Q3 20</v>
      </c>
      <c r="C30" s="496" t="e">
        <f>AVERAGE(C29:E29)-N78-E27</f>
        <v>#DIV/0!</v>
      </c>
      <c r="D30" s="468" t="s">
        <v>9</v>
      </c>
      <c r="E30" s="397" t="e">
        <f>AVERAGE(C29:E29)-C43+E27</f>
        <v>#DIV/0!</v>
      </c>
      <c r="F30" s="230"/>
      <c r="G30" s="230"/>
      <c r="H30" s="240" t="s">
        <v>127</v>
      </c>
      <c r="I30" s="241"/>
      <c r="J30" s="459">
        <f>(J17)</f>
        <v>89.999999999999943</v>
      </c>
      <c r="K30" s="234"/>
      <c r="M30" s="477" t="str">
        <f>CONCATENATE(LEFT($H$11,3),"/",INDEX($AX$9:$AX$21,MATCH(LEFT($H$11,3),$AQ$9:$AQ$21,0)))</f>
        <v>Feb/Q1'20</v>
      </c>
      <c r="N30" s="131">
        <f>J11-J17</f>
        <v>4.9999999999997158E-2</v>
      </c>
      <c r="O30" s="553"/>
      <c r="R30" s="525" t="str">
        <f>M29</f>
        <v>Feb/May</v>
      </c>
      <c r="S30" s="131" t="e">
        <f>W11-#REF!</f>
        <v>#REF!</v>
      </c>
      <c r="T30" s="533"/>
      <c r="U30" s="268"/>
      <c r="V30" s="269"/>
      <c r="W30" s="76"/>
      <c r="X30" s="189"/>
      <c r="Z30" s="516"/>
      <c r="AA30" s="189"/>
      <c r="AD30" s="101"/>
      <c r="AF30" s="70"/>
      <c r="BL30" s="367"/>
      <c r="BM30" s="340" t="s">
        <v>196</v>
      </c>
      <c r="BN30" s="352"/>
      <c r="BO30" s="355"/>
      <c r="BP30" s="340"/>
      <c r="BQ30" s="350"/>
      <c r="BR30" s="355"/>
      <c r="BS30" s="3"/>
      <c r="BT30" s="3"/>
      <c r="BU30" s="348"/>
      <c r="BW30" s="346"/>
      <c r="BX30" s="398">
        <v>5</v>
      </c>
      <c r="BY30" s="399"/>
      <c r="BZ30" s="399"/>
      <c r="CA30" s="398">
        <v>5</v>
      </c>
      <c r="CB30" s="399"/>
      <c r="CC30" s="399"/>
      <c r="CD30" s="367"/>
    </row>
    <row r="31" spans="2:82" x14ac:dyDescent="0.25">
      <c r="B31" s="393" t="str">
        <f t="shared" si="8"/>
        <v>Q4 20</v>
      </c>
      <c r="C31" s="496" t="e">
        <f>AVERAGE(C30:E30)-N84-E27</f>
        <v>#DIV/0!</v>
      </c>
      <c r="D31" s="468" t="s">
        <v>9</v>
      </c>
      <c r="E31" s="397" t="e">
        <f>AVERAGE(C30:E30)-N84+E27</f>
        <v>#DIV/0!</v>
      </c>
      <c r="F31" s="230"/>
      <c r="G31" s="230"/>
      <c r="H31" s="240" t="s">
        <v>124</v>
      </c>
      <c r="I31" s="242"/>
      <c r="J31" s="459">
        <f>(J18)</f>
        <v>86.649999999999949</v>
      </c>
      <c r="K31" s="235">
        <f>(J30-J31)</f>
        <v>3.3499999999999943</v>
      </c>
      <c r="M31" s="477" t="str">
        <f>CONCATENATE(LEFT($H$11,3),"/",INDEX($AY$9:$AY$21,MATCH(LEFT($H$11,3),$AQ$9:$AQ$21,0)))</f>
        <v>Feb/Q2'20</v>
      </c>
      <c r="N31" s="131">
        <f>J11-J18</f>
        <v>3.3999999999999915</v>
      </c>
      <c r="O31" s="553"/>
      <c r="R31" s="525" t="str">
        <f>M30</f>
        <v>Feb/Q1'20</v>
      </c>
      <c r="S31" s="131">
        <f>W11-W14</f>
        <v>0</v>
      </c>
      <c r="T31" s="533"/>
      <c r="U31" s="268"/>
      <c r="V31" s="269"/>
      <c r="W31" s="76"/>
      <c r="X31" s="189"/>
      <c r="Z31" s="516"/>
      <c r="AA31" s="189"/>
      <c r="AD31" s="102"/>
      <c r="AF31" s="70"/>
      <c r="BL31" s="367"/>
      <c r="BM31" s="340" t="s">
        <v>206</v>
      </c>
      <c r="BN31" s="352"/>
      <c r="BO31" s="355"/>
      <c r="BP31" s="340"/>
      <c r="BQ31" s="350"/>
      <c r="BR31" s="355"/>
      <c r="BS31" s="3"/>
      <c r="BT31" s="3"/>
      <c r="BU31" s="348"/>
      <c r="BW31" s="346"/>
      <c r="BX31" s="398">
        <v>5</v>
      </c>
      <c r="BY31" s="399"/>
      <c r="BZ31" s="399"/>
      <c r="CA31" s="398">
        <v>5</v>
      </c>
      <c r="CB31" s="399"/>
      <c r="CC31" s="399"/>
      <c r="CD31" s="367"/>
    </row>
    <row r="32" spans="2:82" ht="15.75" thickBot="1" x14ac:dyDescent="0.3">
      <c r="B32" s="498" t="str">
        <f t="shared" si="8"/>
        <v>Q1 21</v>
      </c>
      <c r="C32" s="496" t="e">
        <f>AVERAGE(C31:E31)-N90-E27</f>
        <v>#DIV/0!</v>
      </c>
      <c r="D32" s="468" t="s">
        <v>9</v>
      </c>
      <c r="E32" s="397" t="e">
        <f>AVERAGE(C31:E31)-N90+E27</f>
        <v>#DIV/0!</v>
      </c>
      <c r="F32" s="230"/>
      <c r="G32" s="230"/>
      <c r="H32" s="656" t="s">
        <v>326</v>
      </c>
      <c r="I32" s="242"/>
      <c r="J32" s="459">
        <f t="shared" ref="J32:J33" si="9">(J19)</f>
        <v>83.199999999999946</v>
      </c>
      <c r="K32" s="235">
        <f>(J31-J32)</f>
        <v>3.4500000000000028</v>
      </c>
      <c r="L32" s="252"/>
      <c r="M32" s="477" t="str">
        <f>CONCATENATE(LEFT($H$11,3),"/",INDEX($AZ$9:$AZ$21,MATCH(LEFT($H$11,3),$AQ$9:$AQ$21,0)))</f>
        <v>Feb/Q3'20</v>
      </c>
      <c r="N32" s="131">
        <f>J11-J19</f>
        <v>6.8499999999999943</v>
      </c>
      <c r="O32" s="553"/>
      <c r="R32" s="529" t="str">
        <f>M31</f>
        <v>Feb/Q2'20</v>
      </c>
      <c r="S32" s="131">
        <f>W12-W15</f>
        <v>0.94999999999998863</v>
      </c>
      <c r="T32" s="533"/>
      <c r="U32" s="268"/>
      <c r="V32" s="269"/>
      <c r="W32" s="76"/>
      <c r="X32" s="189"/>
      <c r="Z32" s="516"/>
      <c r="AA32" s="189"/>
      <c r="AD32" s="102"/>
      <c r="AF32" s="70"/>
      <c r="BL32" s="367"/>
      <c r="BM32" s="340" t="s">
        <v>207</v>
      </c>
      <c r="BN32" s="352"/>
      <c r="BO32" s="355"/>
      <c r="BP32" s="340"/>
      <c r="BQ32" s="350"/>
      <c r="BR32" s="355"/>
      <c r="BS32" s="3"/>
      <c r="BT32" s="3"/>
      <c r="BU32" s="348"/>
      <c r="BW32" s="346"/>
      <c r="BX32" s="398">
        <v>5</v>
      </c>
      <c r="BY32" s="399"/>
      <c r="BZ32" s="399"/>
      <c r="CA32" s="398">
        <v>5</v>
      </c>
      <c r="CB32" s="399"/>
      <c r="CC32" s="399"/>
      <c r="CD32" s="367"/>
    </row>
    <row r="33" spans="1:82" x14ac:dyDescent="0.25">
      <c r="A33" s="192"/>
      <c r="B33" s="497" t="s">
        <v>176</v>
      </c>
      <c r="C33" s="391" t="e">
        <f>AVERAGE(C29:C32)</f>
        <v>#DIV/0!</v>
      </c>
      <c r="D33" s="414" t="s">
        <v>9</v>
      </c>
      <c r="E33" s="392" t="e">
        <f>AVERAGE(E29:E32)</f>
        <v>#DIV/0!</v>
      </c>
      <c r="F33" s="230"/>
      <c r="G33" s="230"/>
      <c r="H33" s="243" t="s">
        <v>129</v>
      </c>
      <c r="I33" s="242"/>
      <c r="J33" s="464">
        <f t="shared" si="9"/>
        <v>80.54999999999994</v>
      </c>
      <c r="K33" s="235">
        <f>(J32-J33)</f>
        <v>2.6500000000000057</v>
      </c>
      <c r="L33" s="252"/>
      <c r="M33" s="477" t="str">
        <f>CONCATENATE(LEFT($H$11,3),"/",INDEX($BA$9:$BA$21,MATCH(LEFT($H$11,3),$AQ$9:$AQ$21,0)))</f>
        <v>Feb/Q4'20</v>
      </c>
      <c r="N33" s="131">
        <f>J11-J20</f>
        <v>9.5</v>
      </c>
      <c r="O33" s="553"/>
      <c r="R33" s="549"/>
      <c r="S33" s="549"/>
      <c r="T33" s="533"/>
      <c r="U33" s="513"/>
      <c r="V33" s="269"/>
      <c r="W33" s="76"/>
      <c r="X33" s="189"/>
      <c r="Z33" s="516"/>
      <c r="AA33" s="189"/>
      <c r="AD33" s="102"/>
      <c r="AF33" s="70"/>
      <c r="BL33" s="367"/>
      <c r="BM33" s="340" t="s">
        <v>208</v>
      </c>
      <c r="BN33" s="352"/>
      <c r="BO33" s="355"/>
      <c r="BP33" s="340"/>
      <c r="BQ33" s="350"/>
      <c r="BR33" s="355"/>
      <c r="BS33" s="3"/>
      <c r="BT33" s="3"/>
      <c r="BU33" s="348"/>
      <c r="BW33" s="346"/>
      <c r="BX33" s="398">
        <v>5</v>
      </c>
      <c r="BY33" s="399"/>
      <c r="BZ33" s="399"/>
      <c r="CA33" s="398">
        <v>5</v>
      </c>
      <c r="CB33" s="399"/>
      <c r="CC33" s="399"/>
      <c r="CD33" s="367"/>
    </row>
    <row r="34" spans="1:82" ht="15.75" thickBot="1" x14ac:dyDescent="0.3">
      <c r="A34" s="192"/>
      <c r="B34" s="415" t="s">
        <v>286</v>
      </c>
      <c r="C34" s="416" t="e">
        <f>AVERAGE(C33:E33)-S36-E27</f>
        <v>#DIV/0!</v>
      </c>
      <c r="D34" s="417" t="s">
        <v>9</v>
      </c>
      <c r="E34" s="418" t="e">
        <f>AVERAGE(C33:E33)-S36+E27</f>
        <v>#DIV/0!</v>
      </c>
      <c r="F34" s="230"/>
      <c r="G34" s="311"/>
      <c r="H34" s="243" t="s">
        <v>152</v>
      </c>
      <c r="I34" s="241"/>
      <c r="J34" s="459">
        <f>(J21)</f>
        <v>78.599999999999937</v>
      </c>
      <c r="K34" s="235">
        <f>(J33-J34)</f>
        <v>1.9500000000000028</v>
      </c>
      <c r="L34" s="252"/>
      <c r="M34" s="477" t="str">
        <f>CONCATENATE(LEFT($H$11,3),"/",INDEX($BC$9:$BC$21,MATCH(LEFT($H$11,3),$AQ$9:$AQ$21,0)))</f>
        <v>Feb/1H'20</v>
      </c>
      <c r="N34" s="131">
        <f>J11-AVERAGE(J18:J19)</f>
        <v>5.1249999999999858</v>
      </c>
      <c r="O34" s="553"/>
      <c r="P34" s="540"/>
      <c r="Q34" s="540"/>
      <c r="R34" s="549"/>
      <c r="S34" s="549"/>
      <c r="T34" s="540"/>
      <c r="U34" s="513"/>
      <c r="V34" s="269"/>
      <c r="W34" s="76"/>
      <c r="X34" s="189"/>
      <c r="Z34" s="516"/>
      <c r="AA34" s="189"/>
      <c r="AC34" s="511"/>
      <c r="AD34" s="102"/>
      <c r="AE34" s="70"/>
      <c r="AF34" s="70"/>
      <c r="BL34" s="367"/>
      <c r="BM34" s="340" t="s">
        <v>209</v>
      </c>
      <c r="BN34" s="352"/>
      <c r="BO34" s="355"/>
      <c r="BP34" s="340"/>
      <c r="BQ34" s="350"/>
      <c r="BR34" s="355"/>
      <c r="BS34" s="3"/>
      <c r="BT34" s="3"/>
      <c r="BU34" s="348"/>
      <c r="BW34" s="346"/>
      <c r="BX34" s="398">
        <v>5</v>
      </c>
      <c r="BY34" s="399"/>
      <c r="BZ34" s="399"/>
      <c r="CA34" s="398">
        <v>5</v>
      </c>
      <c r="CB34" s="399"/>
      <c r="CC34" s="399"/>
      <c r="CD34" s="367"/>
    </row>
    <row r="35" spans="1:82" ht="15.75" thickBot="1" x14ac:dyDescent="0.3">
      <c r="A35" s="192"/>
      <c r="B35" s="274"/>
      <c r="C35" s="123"/>
      <c r="D35" s="123"/>
      <c r="E35" s="275"/>
      <c r="F35" s="230"/>
      <c r="G35" s="230"/>
      <c r="H35" s="243" t="s">
        <v>153</v>
      </c>
      <c r="I35" s="241"/>
      <c r="J35" s="459">
        <f>(J22)</f>
        <v>76.899999999999949</v>
      </c>
      <c r="K35" s="235">
        <f>(J34-J35)</f>
        <v>1.6999999999999886</v>
      </c>
      <c r="M35" s="479" t="str">
        <f>CONCATENATE(LEFT($H$11,3),"/",INDEX($BD$9:$BD$21,MATCH(LEFT($H$11,3),$AQ$9:$AQ$21,0)))</f>
        <v>Feb/Cal20</v>
      </c>
      <c r="N35" s="132">
        <f>J11-J24</f>
        <v>4.9500000000000028</v>
      </c>
      <c r="O35" s="553"/>
      <c r="P35" s="541"/>
      <c r="Q35" s="541"/>
      <c r="R35" s="255" t="s">
        <v>118</v>
      </c>
      <c r="S35" s="256"/>
      <c r="T35" s="534"/>
      <c r="U35" s="513"/>
      <c r="V35" s="269"/>
      <c r="W35" s="76"/>
      <c r="X35" s="189"/>
      <c r="Z35" s="516"/>
      <c r="AA35" s="189"/>
      <c r="AC35" s="103"/>
      <c r="AD35" s="102"/>
      <c r="AE35" s="70"/>
      <c r="AF35" s="70"/>
      <c r="BL35" s="367"/>
      <c r="BM35" s="340" t="s">
        <v>210</v>
      </c>
      <c r="BN35" s="352"/>
      <c r="BO35" s="355"/>
      <c r="BP35" s="340"/>
      <c r="BQ35" s="350"/>
      <c r="BR35" s="355"/>
      <c r="BS35" s="3"/>
      <c r="BT35" s="3"/>
      <c r="BU35" s="348"/>
      <c r="BW35" s="346"/>
      <c r="BX35" s="398">
        <v>5</v>
      </c>
      <c r="BY35" s="399"/>
      <c r="BZ35" s="399"/>
      <c r="CA35" s="398">
        <v>5</v>
      </c>
      <c r="CB35" s="399"/>
      <c r="CC35" s="399"/>
      <c r="CD35" s="367"/>
    </row>
    <row r="36" spans="1:82" ht="15.75" thickTop="1" x14ac:dyDescent="0.25">
      <c r="A36" s="192"/>
      <c r="B36" s="461" t="str">
        <f>M9</f>
        <v>Dec/Jan</v>
      </c>
      <c r="C36" s="395" t="e">
        <f t="shared" ref="C36:C42" si="10">AVERAGE(D36:E36)</f>
        <v>#DIV/0!</v>
      </c>
      <c r="D36" s="586" t="str">
        <f>_xll.BDP("SCOX9Z9 Comdty","BID")</f>
        <v>#N/A Connection</v>
      </c>
      <c r="E36" s="396" t="str">
        <f>_xll.BDP("SCOX9Z9 Comdty","ASK")</f>
        <v>#N/A Connection</v>
      </c>
      <c r="F36" s="230"/>
      <c r="G36" s="230"/>
      <c r="H36" s="243" t="s">
        <v>154</v>
      </c>
      <c r="I36" s="241"/>
      <c r="J36" s="459">
        <f>(J23)</f>
        <v>74.649999999999949</v>
      </c>
      <c r="K36" s="235">
        <f t="shared" ref="K36:K41" si="11">(J35-J36)</f>
        <v>2.25</v>
      </c>
      <c r="L36" s="252"/>
      <c r="M36" s="478" t="str">
        <f>CONCATENATE(LEFT($H$12,3),"/",INDEX($AS$9:$AS$21,MATCH(LEFT($H$12,3),$AR$9:$AR$21,0)))</f>
        <v>Mar/Apr</v>
      </c>
      <c r="N36" s="337">
        <f>J12-J13</f>
        <v>1.0999999999999943</v>
      </c>
      <c r="O36" s="553"/>
      <c r="P36" s="541"/>
      <c r="Q36" s="541"/>
      <c r="R36" s="259" t="s">
        <v>147</v>
      </c>
      <c r="S36" s="257">
        <f>(J24-J25)</f>
        <v>8.7999999999999972</v>
      </c>
      <c r="T36" s="534"/>
      <c r="U36" s="513"/>
      <c r="V36" s="269"/>
      <c r="W36" s="76"/>
      <c r="X36" s="189"/>
      <c r="Z36" s="516"/>
      <c r="AA36" s="189"/>
      <c r="AC36" s="85"/>
      <c r="AD36" s="102"/>
      <c r="AE36" s="84"/>
      <c r="AF36" s="84"/>
      <c r="BL36" s="367"/>
      <c r="BM36" s="340" t="s">
        <v>211</v>
      </c>
      <c r="BN36" s="352"/>
      <c r="BO36" s="355"/>
      <c r="BP36" s="340"/>
      <c r="BQ36" s="350"/>
      <c r="BR36" s="355"/>
      <c r="BS36" s="3"/>
      <c r="BT36" s="3"/>
      <c r="BU36" s="348"/>
      <c r="BW36" s="346"/>
      <c r="BX36" s="398">
        <v>5</v>
      </c>
      <c r="BY36" s="399"/>
      <c r="BZ36" s="399"/>
      <c r="CA36" s="398">
        <v>5</v>
      </c>
      <c r="CB36" s="399"/>
      <c r="CC36" s="399"/>
      <c r="CD36" s="367"/>
    </row>
    <row r="37" spans="1:82" x14ac:dyDescent="0.25">
      <c r="A37" s="192"/>
      <c r="B37" s="461" t="str">
        <f>M18</f>
        <v>Jan/Feb</v>
      </c>
      <c r="C37" s="395" t="e">
        <f t="shared" ref="C37:C40" si="12">AVERAGE(D37:E37)</f>
        <v>#DIV/0!</v>
      </c>
      <c r="D37" s="402" t="str">
        <f>_xll.BDP("SCOZ9F0 Comdty","BID")</f>
        <v>#N/A Connection</v>
      </c>
      <c r="E37" s="396" t="str">
        <f>_xll.BDP("SCOZ9F0 Comdty","ASK")</f>
        <v>#N/A Connection</v>
      </c>
      <c r="F37" s="230"/>
      <c r="G37" s="230"/>
      <c r="H37" s="243" t="s">
        <v>150</v>
      </c>
      <c r="I37" s="241"/>
      <c r="J37" s="459">
        <f>(J36-K36+K28+0)</f>
        <v>72.499999999999943</v>
      </c>
      <c r="K37" s="235">
        <f t="shared" si="11"/>
        <v>2.1500000000000057</v>
      </c>
      <c r="M37" s="477" t="str">
        <f>CONCATENATE(LEFT($H$12,3),"/",INDEX($AT$9:$AT$21,MATCH(LEFT($H$12,3),$AR$9:$AR$21,0)))</f>
        <v>Mar/May</v>
      </c>
      <c r="N37" s="131">
        <f>J12-J14</f>
        <v>2.2999999999999972</v>
      </c>
      <c r="O37" s="553"/>
      <c r="P37" s="541"/>
      <c r="Q37" s="541"/>
      <c r="R37" s="260" t="s">
        <v>271</v>
      </c>
      <c r="S37" s="258">
        <f>(S36+S38)</f>
        <v>13.849999999999994</v>
      </c>
      <c r="T37" s="563"/>
      <c r="U37" s="513"/>
      <c r="V37" s="269"/>
      <c r="W37" s="76"/>
      <c r="X37" s="189"/>
      <c r="Z37" s="516"/>
      <c r="AA37" s="189"/>
      <c r="AD37" s="102"/>
      <c r="AE37" s="70"/>
      <c r="AF37" s="84"/>
      <c r="BL37" s="367"/>
      <c r="BM37" s="340" t="s">
        <v>212</v>
      </c>
      <c r="BN37" s="352"/>
      <c r="BO37" s="355"/>
      <c r="BP37" s="340"/>
      <c r="BQ37" s="350"/>
      <c r="BR37" s="355"/>
      <c r="BS37" s="3"/>
      <c r="BT37" s="3"/>
      <c r="BU37" s="348"/>
      <c r="BW37" s="346"/>
      <c r="BX37" s="398">
        <v>5</v>
      </c>
      <c r="BY37" s="399"/>
      <c r="BZ37" s="399"/>
      <c r="CA37" s="398">
        <v>5</v>
      </c>
      <c r="CB37" s="399"/>
      <c r="CC37" s="399"/>
      <c r="CD37" s="367"/>
    </row>
    <row r="38" spans="1:82" x14ac:dyDescent="0.25">
      <c r="A38" s="192"/>
      <c r="B38" s="461" t="str">
        <f>M27</f>
        <v>Feb/Mar</v>
      </c>
      <c r="C38" s="395" t="e">
        <f t="shared" si="12"/>
        <v>#DIV/0!</v>
      </c>
      <c r="D38" s="402" t="str">
        <f>_xll.BDP("SCOF0G0 Comdty","BID")</f>
        <v>#N/A Connection</v>
      </c>
      <c r="E38" s="396" t="str">
        <f>_xll.BDP("SCOF0G0 Comdty","ASK")</f>
        <v>#N/A Connection</v>
      </c>
      <c r="F38" s="230"/>
      <c r="G38" s="230"/>
      <c r="H38" s="243" t="s">
        <v>200</v>
      </c>
      <c r="I38" s="242"/>
      <c r="J38" s="459">
        <f>(J37-K37+K28+0)</f>
        <v>70.449999999999932</v>
      </c>
      <c r="K38" s="235">
        <f t="shared" si="11"/>
        <v>2.0500000000000114</v>
      </c>
      <c r="L38" s="252"/>
      <c r="M38" s="477" t="str">
        <f>CONCATENATE(LEFT($H$12,3),"/",INDEX($AU$9:$AU$21,MATCH(LEFT($H$12,3),$AR$9:$AR$21,0)))</f>
        <v>Mar/Jun</v>
      </c>
      <c r="N38" s="131">
        <f>J12-J15</f>
        <v>3.0999999999999943</v>
      </c>
      <c r="O38" s="553"/>
      <c r="P38" s="541"/>
      <c r="Q38" s="541"/>
      <c r="R38" s="261" t="s">
        <v>253</v>
      </c>
      <c r="S38" s="258">
        <f>(J25-J26)</f>
        <v>5.0499999999999972</v>
      </c>
      <c r="T38" s="533"/>
      <c r="U38" s="513"/>
      <c r="V38" s="269"/>
      <c r="W38" s="76"/>
      <c r="X38" s="189"/>
      <c r="Z38" s="516"/>
      <c r="AA38" s="189"/>
      <c r="AD38" s="102"/>
      <c r="AE38" s="70"/>
      <c r="AF38" s="84"/>
      <c r="BL38" s="367"/>
      <c r="BM38" s="340" t="s">
        <v>213</v>
      </c>
      <c r="BN38" s="352"/>
      <c r="BO38" s="355"/>
      <c r="BP38" s="340"/>
      <c r="BQ38" s="350"/>
      <c r="BR38" s="355"/>
      <c r="BS38" s="3"/>
      <c r="BT38" s="3"/>
      <c r="BU38" s="348"/>
      <c r="BW38" s="346"/>
      <c r="BX38" s="398">
        <v>5</v>
      </c>
      <c r="BY38" s="399"/>
      <c r="BZ38" s="399"/>
      <c r="CA38" s="398">
        <v>5</v>
      </c>
      <c r="CB38" s="399"/>
      <c r="CC38" s="399"/>
      <c r="CD38" s="367"/>
    </row>
    <row r="39" spans="1:82" x14ac:dyDescent="0.25">
      <c r="A39" s="192"/>
      <c r="B39" s="461" t="str">
        <f>M36</f>
        <v>Mar/Apr</v>
      </c>
      <c r="C39" s="395" t="e">
        <f t="shared" si="12"/>
        <v>#DIV/0!</v>
      </c>
      <c r="D39" s="402" t="str">
        <f>_xll.BDP("SCOG0H0 Comdty","BID")</f>
        <v>#N/A Connection</v>
      </c>
      <c r="E39" s="396" t="str">
        <f>_xll.BDP("SCOG0H0 Comdty","ASK")</f>
        <v>#N/A Connection</v>
      </c>
      <c r="F39" s="230"/>
      <c r="G39" s="230"/>
      <c r="H39" s="243" t="s">
        <v>202</v>
      </c>
      <c r="I39" s="242"/>
      <c r="J39" s="459">
        <f>(J38-K38+K28+0)</f>
        <v>68.499999999999915</v>
      </c>
      <c r="K39" s="235">
        <f t="shared" si="11"/>
        <v>1.9500000000000171</v>
      </c>
      <c r="L39" s="252"/>
      <c r="M39" s="477" t="str">
        <f>CONCATENATE(LEFT($H$12,3),"/",INDEX($AX$9:$AX$21,MATCH(LEFT($H$12,3),$AR$9:$AR$21,0)))</f>
        <v>Mar/Q1'20</v>
      </c>
      <c r="N39" s="131">
        <f>J12-J17</f>
        <v>-1.2000000000000028</v>
      </c>
      <c r="O39" s="553"/>
      <c r="P39" s="541"/>
      <c r="Q39" s="541"/>
      <c r="R39" s="253" t="s">
        <v>136</v>
      </c>
      <c r="S39" s="254">
        <f>(S36-S38)</f>
        <v>3.75</v>
      </c>
      <c r="T39" s="533"/>
      <c r="U39" s="513"/>
      <c r="V39" s="269"/>
      <c r="W39" s="76"/>
      <c r="X39" s="189"/>
      <c r="Z39" s="516"/>
      <c r="AA39" s="189"/>
      <c r="AD39" s="102"/>
      <c r="AE39" s="104"/>
      <c r="AF39" s="86"/>
      <c r="BL39" s="367"/>
      <c r="BM39" s="340" t="s">
        <v>214</v>
      </c>
      <c r="BN39" s="352"/>
      <c r="BO39" s="355"/>
      <c r="BP39" s="3"/>
      <c r="BQ39" s="3"/>
      <c r="BR39" s="349"/>
      <c r="BS39" s="3"/>
      <c r="BT39" s="3"/>
      <c r="BU39" s="348"/>
      <c r="BW39" s="346"/>
      <c r="BX39" s="398">
        <v>5</v>
      </c>
      <c r="BY39" s="399"/>
      <c r="BZ39" s="399"/>
      <c r="CA39" s="398">
        <v>5</v>
      </c>
      <c r="CB39" s="399"/>
      <c r="CC39" s="399"/>
      <c r="CD39" s="367"/>
    </row>
    <row r="40" spans="1:82" ht="15" customHeight="1" x14ac:dyDescent="0.25">
      <c r="A40" s="192"/>
      <c r="B40" s="461" t="str">
        <f>M45</f>
        <v>Apr/May</v>
      </c>
      <c r="C40" s="395" t="e">
        <f t="shared" si="12"/>
        <v>#DIV/0!</v>
      </c>
      <c r="D40" s="402" t="str">
        <f>_xll.BDP("SCOH0J0 Comdty","BID")</f>
        <v>#N/A Connection</v>
      </c>
      <c r="E40" s="396" t="str">
        <f>_xll.BDP("SCOH0J0 Comdty","ASK")</f>
        <v>#N/A Connection</v>
      </c>
      <c r="F40" s="230"/>
      <c r="G40" s="230"/>
      <c r="H40" s="243" t="s">
        <v>204</v>
      </c>
      <c r="I40" s="242"/>
      <c r="J40" s="459">
        <f>(J39-K39+K28+0)</f>
        <v>66.649999999999892</v>
      </c>
      <c r="K40" s="235">
        <f t="shared" si="11"/>
        <v>1.8500000000000227</v>
      </c>
      <c r="L40" s="252"/>
      <c r="M40" s="477" t="str">
        <f>CONCATENATE(LEFT($H$12,3),"/",INDEX($AY$9:$AY$21,MATCH(LEFT($H$12,3),$AR$9:$AR$21,0)))</f>
        <v>Mar/Q2'20</v>
      </c>
      <c r="N40" s="131">
        <f>J12-J18</f>
        <v>2.1499999999999915</v>
      </c>
      <c r="O40" s="553"/>
      <c r="P40" s="541"/>
      <c r="Q40" s="541"/>
      <c r="R40" s="549"/>
      <c r="S40" s="549"/>
      <c r="T40" s="540"/>
      <c r="U40" s="513"/>
      <c r="V40" s="269"/>
      <c r="W40" s="76"/>
      <c r="X40" s="189"/>
      <c r="Z40" s="516"/>
      <c r="AA40" s="189"/>
      <c r="AC40" s="85"/>
      <c r="AD40" s="70"/>
      <c r="AE40" s="104"/>
      <c r="AF40" s="86"/>
      <c r="BL40" s="367"/>
      <c r="BM40" s="340" t="s">
        <v>215</v>
      </c>
      <c r="BN40" s="352"/>
      <c r="BO40" s="355"/>
      <c r="BP40" s="3"/>
      <c r="BQ40" s="3"/>
      <c r="BR40" s="349"/>
      <c r="BS40" s="3"/>
      <c r="BT40" s="3"/>
      <c r="BU40" s="348"/>
      <c r="BW40" s="346"/>
      <c r="BX40" s="398">
        <v>5</v>
      </c>
      <c r="BY40" s="399"/>
      <c r="BZ40" s="399"/>
      <c r="CA40" s="398">
        <v>5</v>
      </c>
      <c r="CB40" s="399"/>
      <c r="CC40" s="399"/>
      <c r="CD40" s="367"/>
    </row>
    <row r="41" spans="1:82" ht="12.75" customHeight="1" thickBot="1" x14ac:dyDescent="0.3">
      <c r="A41" s="192"/>
      <c r="B41" s="461" t="str">
        <f>M54</f>
        <v>May/Jun</v>
      </c>
      <c r="C41" s="395" t="e">
        <f t="shared" si="10"/>
        <v>#DIV/0!</v>
      </c>
      <c r="D41" s="402" t="str">
        <f>_xll.BDP("SCOJ0K0 Comdty","BID")</f>
        <v>#N/A Connection</v>
      </c>
      <c r="E41" s="396" t="str">
        <f>_xll.BDP("SCOJ0K0 Comdty","ASK")</f>
        <v>#N/A Connection</v>
      </c>
      <c r="F41" s="302"/>
      <c r="G41" s="230"/>
      <c r="H41" s="243" t="s">
        <v>205</v>
      </c>
      <c r="I41" s="242"/>
      <c r="J41" s="459">
        <f>(J40-K40+0)</f>
        <v>64.799999999999869</v>
      </c>
      <c r="K41" s="235">
        <f t="shared" si="11"/>
        <v>1.8500000000000227</v>
      </c>
      <c r="M41" s="477" t="str">
        <f>CONCATENATE(LEFT($H$12,3),"/",INDEX($AZ$9:$AZ$21,MATCH(LEFT($H$12,3),$AR$9:$AR$21,0)))</f>
        <v>Mar/Q3'20</v>
      </c>
      <c r="N41" s="131">
        <f>J12-J19</f>
        <v>5.5999999999999943</v>
      </c>
      <c r="O41" s="553"/>
      <c r="P41" s="541"/>
      <c r="Q41" s="541"/>
      <c r="R41" s="247" t="s">
        <v>133</v>
      </c>
      <c r="S41" s="247"/>
      <c r="T41" s="81"/>
      <c r="U41" s="513"/>
      <c r="V41" s="269"/>
      <c r="W41" s="76"/>
      <c r="X41" s="189"/>
      <c r="Z41" s="516"/>
      <c r="AA41" s="189"/>
      <c r="AC41" s="85"/>
      <c r="AD41" s="70"/>
      <c r="AE41" s="104"/>
      <c r="AF41" s="84"/>
      <c r="BL41" s="367"/>
      <c r="BM41" s="340" t="s">
        <v>216</v>
      </c>
      <c r="BN41" s="352"/>
      <c r="BO41" s="355"/>
      <c r="BP41" s="3"/>
      <c r="BQ41" s="3"/>
      <c r="BR41" s="349"/>
      <c r="BS41" s="3"/>
      <c r="BT41" s="3"/>
      <c r="BU41" s="348"/>
      <c r="BW41" s="346"/>
      <c r="BX41" s="398">
        <v>5</v>
      </c>
      <c r="BY41" s="399"/>
      <c r="BZ41" s="399"/>
      <c r="CA41" s="398">
        <v>5</v>
      </c>
      <c r="CB41" s="399"/>
      <c r="CC41" s="399"/>
      <c r="CD41" s="367"/>
    </row>
    <row r="42" spans="1:82" ht="15.75" customHeight="1" x14ac:dyDescent="0.25">
      <c r="A42" s="192"/>
      <c r="B42" s="461" t="str">
        <f>M63</f>
        <v>Jun/Jul</v>
      </c>
      <c r="C42" s="395" t="e">
        <f t="shared" si="10"/>
        <v>#DIV/0!</v>
      </c>
      <c r="D42" s="402" t="str">
        <f>_xll.BDP("SCOJ0K0 Comdty","BID")</f>
        <v>#N/A Connection</v>
      </c>
      <c r="E42" s="396" t="str">
        <f>_xll.BDP("SCOJ0K0 Comdty","ASK")</f>
        <v>#N/A Connection</v>
      </c>
      <c r="F42" s="230"/>
      <c r="G42" s="230"/>
      <c r="H42" s="243" t="s">
        <v>270</v>
      </c>
      <c r="I42" s="242"/>
      <c r="J42" s="459">
        <f t="shared" ref="J42:J44" si="13">(J41-K41+0)</f>
        <v>62.949999999999847</v>
      </c>
      <c r="K42" s="235">
        <f>(J41-J42)</f>
        <v>1.8500000000000227</v>
      </c>
      <c r="M42" s="477" t="str">
        <f>CONCATENATE(LEFT($H$12,3),"/",INDEX($BA$9:$BA$21,MATCH(LEFT($H$12,3),$AR$9:$AR$21,0)))</f>
        <v>Mar/Q4'20</v>
      </c>
      <c r="N42" s="131">
        <f>J12-J20</f>
        <v>8.25</v>
      </c>
      <c r="O42" s="553"/>
      <c r="P42" s="541"/>
      <c r="Q42" s="541"/>
      <c r="R42" s="246"/>
      <c r="S42" s="248" t="str">
        <f>_xll.BDP("RBTA COMDTY", "PX_LAST", "Fill", "B")</f>
        <v>#N/A Connection</v>
      </c>
      <c r="T42" s="81"/>
      <c r="U42" s="513"/>
      <c r="V42" s="269"/>
      <c r="W42" s="76"/>
      <c r="X42" s="189"/>
      <c r="Z42" s="516"/>
      <c r="AA42" s="189"/>
      <c r="AC42" s="85"/>
      <c r="AD42" s="70"/>
      <c r="AE42" s="104"/>
      <c r="AF42" s="84"/>
      <c r="BL42" s="367"/>
      <c r="BM42" s="340" t="s">
        <v>217</v>
      </c>
      <c r="BN42" s="352"/>
      <c r="BO42" s="355"/>
      <c r="BP42" s="3"/>
      <c r="BQ42" s="3"/>
      <c r="BR42" s="349"/>
      <c r="BS42" s="3"/>
      <c r="BT42" s="3"/>
      <c r="BU42" s="348"/>
      <c r="BW42" s="346"/>
      <c r="BX42" s="398">
        <v>5</v>
      </c>
      <c r="BY42" s="399"/>
      <c r="BZ42" s="399"/>
      <c r="CA42" s="398">
        <v>5</v>
      </c>
      <c r="CB42" s="399"/>
      <c r="CC42" s="399"/>
      <c r="CD42" s="367"/>
    </row>
    <row r="43" spans="1:82" x14ac:dyDescent="0.25">
      <c r="A43" s="192"/>
      <c r="B43" s="462" t="s">
        <v>274</v>
      </c>
      <c r="C43" s="432" t="e">
        <f>(C23-C24)</f>
        <v>#DIV/0!</v>
      </c>
      <c r="D43" s="394" t="e">
        <f>(C43)-0.1</f>
        <v>#DIV/0!</v>
      </c>
      <c r="E43" s="405" t="e">
        <f>(C43)+0.1</f>
        <v>#DIV/0!</v>
      </c>
      <c r="F43" s="230"/>
      <c r="G43" s="230"/>
      <c r="H43" s="243" t="s">
        <v>273</v>
      </c>
      <c r="I43" s="242"/>
      <c r="J43" s="459">
        <f t="shared" si="13"/>
        <v>61.099999999999824</v>
      </c>
      <c r="K43" s="235">
        <f t="shared" ref="K43:K44" si="14">(J42-J43)</f>
        <v>1.8500000000000227</v>
      </c>
      <c r="M43" s="477" t="str">
        <f>CONCATENATE(LEFT($H$12,3),"/",INDEX($BC$9:$BC$21,MATCH(LEFT($H$12,3),$AR$9:$AR$21,0)))</f>
        <v>Mar/1H'20</v>
      </c>
      <c r="N43" s="131">
        <f>J12-AVERAGE(J18:J19)</f>
        <v>3.8749999999999858</v>
      </c>
      <c r="O43" s="553"/>
      <c r="P43" s="541"/>
      <c r="Q43" s="541"/>
      <c r="R43" s="246"/>
      <c r="S43" s="249" t="str">
        <f>(J8)</f>
        <v>#N/A Connection</v>
      </c>
      <c r="T43" s="81"/>
      <c r="U43" s="513"/>
      <c r="V43" s="269"/>
      <c r="W43" s="76"/>
      <c r="X43" s="189"/>
      <c r="Z43" s="516"/>
      <c r="AA43" s="189"/>
      <c r="AC43" s="85"/>
      <c r="AD43" s="70"/>
      <c r="AE43" s="104"/>
      <c r="AF43" s="84"/>
      <c r="BL43" s="367"/>
      <c r="BM43" s="340" t="s">
        <v>218</v>
      </c>
      <c r="BN43" s="352"/>
      <c r="BO43" s="355"/>
      <c r="BP43" s="3"/>
      <c r="BQ43" s="3"/>
      <c r="BR43" s="349"/>
      <c r="BS43" s="3"/>
      <c r="BT43" s="3"/>
      <c r="BU43" s="348"/>
      <c r="BW43" s="346"/>
      <c r="BX43" s="398">
        <v>5</v>
      </c>
      <c r="BY43" s="399"/>
      <c r="BZ43" s="399"/>
      <c r="CA43" s="398">
        <v>5</v>
      </c>
      <c r="CB43" s="399"/>
      <c r="CC43" s="399"/>
      <c r="CD43" s="367"/>
    </row>
    <row r="44" spans="1:82" ht="15.75" customHeight="1" thickBot="1" x14ac:dyDescent="0.3">
      <c r="A44" s="193"/>
      <c r="B44" s="462" t="s">
        <v>317</v>
      </c>
      <c r="C44" s="433" t="e">
        <f>(C24-C25)</f>
        <v>#DIV/0!</v>
      </c>
      <c r="D44" s="396" t="e">
        <f>(C44)-0.1</f>
        <v>#DIV/0!</v>
      </c>
      <c r="E44" s="434" t="e">
        <f>(C44)+0.1</f>
        <v>#DIV/0!</v>
      </c>
      <c r="F44" s="230"/>
      <c r="G44" s="230"/>
      <c r="H44" s="243" t="s">
        <v>287</v>
      </c>
      <c r="I44" s="242"/>
      <c r="J44" s="459">
        <f t="shared" si="13"/>
        <v>59.249999999999801</v>
      </c>
      <c r="K44" s="235">
        <f t="shared" si="14"/>
        <v>1.8500000000000227</v>
      </c>
      <c r="M44" s="479" t="str">
        <f>CONCATENATE(LEFT($H$12,3),"/",INDEX($BD$9:$BD$21,MATCH(LEFT($H$12,3),$AR$9:$AR$21,0)))</f>
        <v>Mar/Cal20</v>
      </c>
      <c r="N44" s="132">
        <f>J12-J24</f>
        <v>3.7000000000000028</v>
      </c>
      <c r="O44" s="553"/>
      <c r="P44" s="541"/>
      <c r="Q44" s="541"/>
      <c r="R44" s="246" t="s">
        <v>135</v>
      </c>
      <c r="S44" s="250" t="e">
        <f>(S43-30)/('Phys calcs'!B7)/1.13</f>
        <v>#VALUE!</v>
      </c>
      <c r="T44" s="92"/>
      <c r="U44" s="513"/>
      <c r="V44" s="269"/>
      <c r="W44" s="76"/>
      <c r="X44" s="189"/>
      <c r="Z44" s="516"/>
      <c r="AA44" s="189"/>
      <c r="AC44" s="85"/>
      <c r="AD44" s="70"/>
      <c r="AE44" s="104"/>
      <c r="AF44" s="70"/>
      <c r="BL44" s="367"/>
      <c r="BM44" s="340" t="s">
        <v>219</v>
      </c>
      <c r="BN44" s="352"/>
      <c r="BO44" s="355"/>
      <c r="BP44" s="3"/>
      <c r="BQ44" s="3"/>
      <c r="BR44" s="349"/>
      <c r="BS44" s="3"/>
      <c r="BT44" s="3"/>
      <c r="BU44" s="348"/>
      <c r="BW44" s="346"/>
      <c r="BX44" s="398">
        <v>5</v>
      </c>
      <c r="BY44" s="399"/>
      <c r="BZ44" s="399"/>
      <c r="CA44" s="398">
        <v>5</v>
      </c>
      <c r="CB44" s="399"/>
      <c r="CC44" s="399"/>
      <c r="CD44" s="367"/>
    </row>
    <row r="45" spans="1:82" ht="15.75" thickTop="1" x14ac:dyDescent="0.25">
      <c r="A45" s="193"/>
      <c r="B45" s="462" t="s">
        <v>318</v>
      </c>
      <c r="C45" s="433" t="e">
        <f>(C25-C26)</f>
        <v>#DIV/0!</v>
      </c>
      <c r="D45" s="396" t="e">
        <f>(C45)-0.1</f>
        <v>#DIV/0!</v>
      </c>
      <c r="E45" s="434" t="e">
        <f>(C45)+0.1</f>
        <v>#DIV/0!</v>
      </c>
      <c r="F45" s="230"/>
      <c r="G45" s="230"/>
      <c r="H45" s="243" t="s">
        <v>322</v>
      </c>
      <c r="I45" s="242"/>
      <c r="J45" s="459">
        <f t="shared" ref="J45" si="15">(J44-K44+0)</f>
        <v>57.399999999999778</v>
      </c>
      <c r="K45" s="235">
        <f t="shared" ref="K45" si="16">(J44-J45)</f>
        <v>1.8500000000000227</v>
      </c>
      <c r="M45" s="478" t="str">
        <f>CONCATENATE(LEFT($H$13,3),"/",INDEX($AT$9:$AT$21,MATCH(LEFT($H$13,3),$AS$9:$AS$21,0)))</f>
        <v>Apr/May</v>
      </c>
      <c r="N45" s="337">
        <f>J13-J14</f>
        <v>1.2000000000000028</v>
      </c>
      <c r="O45" s="553"/>
      <c r="P45" s="541"/>
      <c r="Q45" s="541"/>
      <c r="R45" s="246" t="s">
        <v>134</v>
      </c>
      <c r="S45" s="251" t="e">
        <f>(S42-S43)</f>
        <v>#VALUE!</v>
      </c>
      <c r="U45" s="513"/>
      <c r="V45" s="269"/>
      <c r="W45" s="76"/>
      <c r="X45" s="189"/>
      <c r="Z45" s="516"/>
      <c r="AA45" s="189"/>
      <c r="AC45" s="85"/>
      <c r="AD45" s="70"/>
      <c r="AE45" s="104"/>
      <c r="AF45" s="70"/>
      <c r="BL45" s="367"/>
      <c r="BM45" s="340" t="s">
        <v>220</v>
      </c>
      <c r="BN45" s="352"/>
      <c r="BO45" s="355"/>
      <c r="BP45" s="3"/>
      <c r="BQ45" s="3"/>
      <c r="BR45" s="349"/>
      <c r="BS45" s="3"/>
      <c r="BT45" s="3"/>
      <c r="BU45" s="348"/>
      <c r="BW45" s="346"/>
      <c r="BX45" s="398">
        <v>5</v>
      </c>
      <c r="BY45" s="399"/>
      <c r="BZ45" s="399"/>
      <c r="CA45" s="398">
        <v>5</v>
      </c>
      <c r="CB45" s="399"/>
      <c r="CC45" s="399"/>
      <c r="CD45" s="367"/>
    </row>
    <row r="46" spans="1:82" x14ac:dyDescent="0.25">
      <c r="A46" s="193"/>
      <c r="B46" s="443"/>
      <c r="C46" s="444"/>
      <c r="D46" s="445"/>
      <c r="E46" s="446"/>
      <c r="F46" s="230"/>
      <c r="G46" s="232"/>
      <c r="H46" s="409"/>
      <c r="I46" s="410" t="s">
        <v>131</v>
      </c>
      <c r="J46" s="460">
        <f>AVERAGE(J30:J33)</f>
        <v>85.099999999999952</v>
      </c>
      <c r="K46" s="411"/>
      <c r="M46" s="477" t="str">
        <f>CONCATENATE(LEFT($H$13,3),"/",INDEX($AU$9:$AU$21,MATCH(LEFT($H$13,3),$AS$9:$AS$21,0)))</f>
        <v>Apr/Jun</v>
      </c>
      <c r="N46" s="131">
        <f>J13-J15</f>
        <v>2</v>
      </c>
      <c r="O46" s="553"/>
      <c r="P46" s="542"/>
      <c r="Q46" s="542"/>
      <c r="R46" s="246" t="s">
        <v>269</v>
      </c>
      <c r="S46" s="407" t="e">
        <f>(#REF!-S44)</f>
        <v>#REF!</v>
      </c>
      <c r="U46" s="513"/>
      <c r="V46" s="269"/>
      <c r="W46" s="76"/>
      <c r="X46" s="189"/>
      <c r="Z46" s="516"/>
      <c r="AA46" s="189"/>
      <c r="AC46" s="85"/>
      <c r="AD46" s="70"/>
      <c r="AE46" s="70"/>
      <c r="AF46" s="70"/>
      <c r="BL46" s="367"/>
      <c r="BM46" s="340" t="s">
        <v>221</v>
      </c>
      <c r="BN46" s="352"/>
      <c r="BO46" s="355"/>
      <c r="BP46" s="3"/>
      <c r="BQ46" s="3"/>
      <c r="BR46" s="349"/>
      <c r="BS46" s="3"/>
      <c r="BT46" s="3"/>
      <c r="BU46" s="348"/>
      <c r="BW46" s="346"/>
      <c r="BX46" s="398">
        <v>5</v>
      </c>
      <c r="BY46" s="399"/>
      <c r="BZ46" s="399"/>
      <c r="CA46" s="398">
        <v>5</v>
      </c>
      <c r="CB46" s="399"/>
      <c r="CC46" s="399"/>
      <c r="CD46" s="367"/>
    </row>
    <row r="47" spans="1:82" ht="15.75" thickBot="1" x14ac:dyDescent="0.3">
      <c r="A47" s="87"/>
      <c r="B47" s="447"/>
      <c r="C47" s="444"/>
      <c r="D47" s="448"/>
      <c r="E47" s="449"/>
      <c r="F47" s="232"/>
      <c r="G47" s="232"/>
      <c r="H47" s="412"/>
      <c r="I47" s="410" t="s">
        <v>151</v>
      </c>
      <c r="J47" s="460">
        <f>AVERAGE(J34:J37)</f>
        <v>75.662499999999937</v>
      </c>
      <c r="K47" s="413"/>
      <c r="M47" s="477" t="str">
        <f>CONCATENATE(LEFT($H$13,3),"/",INDEX($AV$9:$AV$21,MATCH(LEFT($H$13,3),$AS$9:$AS$21,0)))</f>
        <v>Apr/Jul</v>
      </c>
      <c r="N47" s="131">
        <f>J13-J16</f>
        <v>3.2999999999999972</v>
      </c>
      <c r="O47" s="553"/>
      <c r="P47" s="543"/>
      <c r="Q47" s="543"/>
      <c r="R47" s="67"/>
      <c r="S47" s="67"/>
      <c r="T47" s="211"/>
      <c r="U47" s="513"/>
      <c r="V47" s="269"/>
      <c r="W47" s="76"/>
      <c r="X47" s="189"/>
      <c r="Z47" s="516"/>
      <c r="AA47" s="189"/>
      <c r="BL47" s="367"/>
      <c r="BM47" s="340" t="s">
        <v>222</v>
      </c>
      <c r="BN47" s="352"/>
      <c r="BO47" s="355"/>
      <c r="BP47" s="3"/>
      <c r="BQ47" s="3"/>
      <c r="BR47" s="349"/>
      <c r="BS47" s="3"/>
      <c r="BT47" s="3"/>
      <c r="BU47" s="348"/>
      <c r="BW47" s="346"/>
      <c r="BX47" s="398">
        <v>5</v>
      </c>
      <c r="BY47" s="399"/>
      <c r="BZ47" s="399"/>
      <c r="CA47" s="398">
        <v>5</v>
      </c>
      <c r="CB47" s="399"/>
      <c r="CC47" s="399"/>
      <c r="CD47" s="367"/>
    </row>
    <row r="48" spans="1:82" x14ac:dyDescent="0.25">
      <c r="A48" s="87"/>
      <c r="B48" s="435" t="s">
        <v>277</v>
      </c>
      <c r="C48" s="441" t="e">
        <f>(C10-#REF!)</f>
        <v>#DIV/0!</v>
      </c>
      <c r="D48" s="450"/>
      <c r="E48" s="451"/>
      <c r="F48" s="232"/>
      <c r="G48" s="232"/>
      <c r="H48" s="412"/>
      <c r="I48" s="410" t="s">
        <v>268</v>
      </c>
      <c r="J48" s="460">
        <f>AVERAGE(J38:J41)</f>
        <v>67.599999999999909</v>
      </c>
      <c r="K48" s="413"/>
      <c r="M48" s="477" t="str">
        <f>CONCATENATE(LEFT($H$13,3),"/",INDEX($AX$9:$AX$21,MATCH(LEFT($H$13,3),$AS$9:$AS$21,0)))</f>
        <v>Apr/Q1'20</v>
      </c>
      <c r="N48" s="131">
        <f>J13-J17</f>
        <v>-2.2999999999999972</v>
      </c>
      <c r="O48" s="553"/>
      <c r="P48" s="542"/>
      <c r="Q48" s="542"/>
      <c r="R48" s="262" t="s">
        <v>138</v>
      </c>
      <c r="S48" s="249" t="e">
        <f>F49-_xll.BDP("IOE5 COMDTY", "PX_LAST", "Fill", "B")</f>
        <v>#VALUE!</v>
      </c>
      <c r="T48" s="81"/>
      <c r="U48" s="513"/>
      <c r="V48" s="269"/>
      <c r="W48" s="76"/>
      <c r="X48" s="189"/>
      <c r="Z48" s="516"/>
      <c r="AA48" s="189"/>
      <c r="BL48" s="367"/>
      <c r="BM48" s="340" t="s">
        <v>223</v>
      </c>
      <c r="BN48" s="352"/>
      <c r="BO48" s="355"/>
      <c r="BP48" s="3"/>
      <c r="BQ48" s="3"/>
      <c r="BR48" s="349"/>
      <c r="BS48" s="3"/>
      <c r="BT48" s="3"/>
      <c r="BU48" s="348"/>
      <c r="BW48" s="346"/>
      <c r="BX48" s="398">
        <v>5</v>
      </c>
      <c r="BY48" s="399"/>
      <c r="BZ48" s="399"/>
      <c r="CA48" s="398">
        <v>5</v>
      </c>
      <c r="CB48" s="399"/>
      <c r="CC48" s="399"/>
      <c r="CD48" s="367"/>
    </row>
    <row r="49" spans="1:82" x14ac:dyDescent="0.25">
      <c r="A49" s="194"/>
      <c r="B49" s="435" t="s">
        <v>278</v>
      </c>
      <c r="C49" s="329" t="e">
        <f>(C10-C23)</f>
        <v>#DIV/0!</v>
      </c>
      <c r="D49" s="330"/>
      <c r="E49" s="331"/>
      <c r="F49" s="232"/>
      <c r="G49" s="232"/>
      <c r="H49" s="268"/>
      <c r="I49" s="269"/>
      <c r="J49" s="74"/>
      <c r="K49" s="189"/>
      <c r="M49" s="477" t="str">
        <f>CONCATENATE(LEFT($H$13,3),"/",INDEX($AY$9:$AY$21,MATCH(LEFT($H$13,3),$AS$9:$AS$21,0)))</f>
        <v>Apr/Q2'20</v>
      </c>
      <c r="N49" s="131">
        <f>J13-J18</f>
        <v>1.0499999999999972</v>
      </c>
      <c r="O49" s="553"/>
      <c r="P49" s="542"/>
      <c r="Q49" s="542"/>
      <c r="R49" s="67"/>
      <c r="S49" s="67"/>
      <c r="T49" s="81"/>
      <c r="U49" s="513"/>
      <c r="V49" s="269"/>
      <c r="W49" s="76"/>
      <c r="X49" s="189"/>
      <c r="Z49" s="516"/>
      <c r="AA49" s="189"/>
      <c r="BL49" s="367"/>
      <c r="BM49" s="340" t="s">
        <v>224</v>
      </c>
      <c r="BN49" s="352"/>
      <c r="BO49" s="355"/>
      <c r="BP49" s="3"/>
      <c r="BQ49" s="3"/>
      <c r="BR49" s="349"/>
      <c r="BS49" s="3"/>
      <c r="BT49" s="3"/>
      <c r="BU49" s="348"/>
      <c r="BW49" s="346"/>
      <c r="BX49" s="398">
        <v>5</v>
      </c>
      <c r="BY49" s="399"/>
      <c r="BZ49" s="399"/>
      <c r="CA49" s="398">
        <v>5</v>
      </c>
      <c r="CB49" s="399"/>
      <c r="CC49" s="399"/>
      <c r="CD49" s="367"/>
    </row>
    <row r="50" spans="1:82" x14ac:dyDescent="0.25">
      <c r="A50" s="195"/>
      <c r="B50" s="435" t="s">
        <v>279</v>
      </c>
      <c r="C50" s="329" t="e">
        <f>(C10-C24)</f>
        <v>#DIV/0!</v>
      </c>
      <c r="D50" s="330"/>
      <c r="E50" s="331"/>
      <c r="F50" s="232"/>
      <c r="G50" s="232"/>
      <c r="H50" s="268"/>
      <c r="I50" s="269"/>
      <c r="J50" s="74"/>
      <c r="K50" s="189"/>
      <c r="M50" s="477" t="str">
        <f>CONCATENATE(LEFT($H$13,3),"/",INDEX($AZ$9:$AZ$21,MATCH(LEFT($H$13,3),$AS$9:$AS$21,0)))</f>
        <v>Apr/Q3'20</v>
      </c>
      <c r="N50" s="131">
        <f>J13-J19</f>
        <v>4.5</v>
      </c>
      <c r="O50" s="553"/>
      <c r="P50" s="543"/>
      <c r="Q50" s="543"/>
      <c r="R50" s="67"/>
      <c r="S50" s="67"/>
      <c r="T50" s="81"/>
      <c r="U50" s="513"/>
      <c r="V50" s="269"/>
      <c r="W50" s="76"/>
      <c r="X50" s="189"/>
      <c r="Z50" s="516"/>
      <c r="AA50" s="189"/>
      <c r="BL50" s="367"/>
      <c r="BM50" s="340" t="s">
        <v>225</v>
      </c>
      <c r="BN50" s="352"/>
      <c r="BO50" s="355"/>
      <c r="BP50" s="3"/>
      <c r="BQ50" s="3"/>
      <c r="BR50" s="349"/>
      <c r="BS50" s="3"/>
      <c r="BT50" s="3"/>
      <c r="BU50" s="348"/>
      <c r="BW50" s="346"/>
      <c r="BX50" s="398">
        <v>5</v>
      </c>
      <c r="BY50" s="399"/>
      <c r="BZ50" s="399"/>
      <c r="CA50" s="398">
        <v>5</v>
      </c>
      <c r="CB50" s="399"/>
      <c r="CC50" s="399"/>
      <c r="CD50" s="367"/>
    </row>
    <row r="51" spans="1:82" x14ac:dyDescent="0.25">
      <c r="A51" s="195"/>
      <c r="B51" s="435" t="s">
        <v>276</v>
      </c>
      <c r="C51" s="329" t="e">
        <f>(C11-#REF!)</f>
        <v>#DIV/0!</v>
      </c>
      <c r="D51" s="332"/>
      <c r="E51" s="333"/>
      <c r="F51" s="232"/>
      <c r="G51" s="232"/>
      <c r="H51" s="519"/>
      <c r="I51" s="520"/>
      <c r="J51" s="465"/>
      <c r="K51" s="189"/>
      <c r="M51" s="477" t="str">
        <f>CONCATENATE(LEFT($H$13,3),"/",INDEX($BA$9:$BA$21,MATCH(LEFT($H$13,3),$AS$9:$AS$21,0)))</f>
        <v>Apr/Q4'20</v>
      </c>
      <c r="N51" s="131">
        <f>J13-J20</f>
        <v>7.1500000000000057</v>
      </c>
      <c r="O51" s="553"/>
      <c r="P51" s="542"/>
      <c r="Q51" s="542"/>
      <c r="R51" s="67"/>
      <c r="S51" s="67"/>
      <c r="T51" s="81"/>
      <c r="U51" s="513"/>
      <c r="V51" s="269"/>
      <c r="W51" s="76"/>
      <c r="X51" s="189"/>
      <c r="Z51" s="516"/>
      <c r="AA51" s="189"/>
      <c r="BL51" s="367"/>
      <c r="BM51" s="340" t="s">
        <v>226</v>
      </c>
      <c r="BN51" s="352"/>
      <c r="BO51" s="355"/>
      <c r="BP51" s="3"/>
      <c r="BQ51" s="3"/>
      <c r="BR51" s="349"/>
      <c r="BS51" s="3"/>
      <c r="BT51" s="3"/>
      <c r="BU51" s="348"/>
      <c r="BW51" s="346"/>
      <c r="BX51" s="398">
        <v>5</v>
      </c>
      <c r="BY51" s="399"/>
      <c r="BZ51" s="399"/>
      <c r="CA51" s="398">
        <v>5</v>
      </c>
      <c r="CB51" s="399"/>
      <c r="CC51" s="399"/>
      <c r="CD51" s="367"/>
    </row>
    <row r="52" spans="1:82" x14ac:dyDescent="0.25">
      <c r="B52" s="435" t="s">
        <v>275</v>
      </c>
      <c r="C52" s="329" t="e">
        <f>(C10-C23)</f>
        <v>#DIV/0!</v>
      </c>
      <c r="D52" s="332"/>
      <c r="E52" s="333"/>
      <c r="F52" s="232"/>
      <c r="G52" s="232"/>
      <c r="H52" s="519"/>
      <c r="I52" s="217"/>
      <c r="J52" s="180"/>
      <c r="K52" s="189"/>
      <c r="M52" s="477" t="str">
        <f>CONCATENATE(LEFT($H$13,3),"/",INDEX($BC$9:$BC$21,MATCH(LEFT($H$13,3),$AS$9:$AS$21,0)))</f>
        <v>Apr/1H'20</v>
      </c>
      <c r="N52" s="131">
        <f>J13-AVERAGE(J20:J21)</f>
        <v>8.1250000000000142</v>
      </c>
      <c r="O52" s="553"/>
      <c r="P52" s="541"/>
      <c r="Q52" s="541"/>
      <c r="R52" s="509" t="s">
        <v>26</v>
      </c>
      <c r="S52" s="67"/>
      <c r="T52" s="92"/>
      <c r="U52" s="513"/>
      <c r="V52" s="269"/>
      <c r="W52" s="76"/>
      <c r="X52" s="189"/>
      <c r="Z52" s="516"/>
      <c r="AA52" s="189"/>
      <c r="AC52" s="85"/>
      <c r="AD52" s="72"/>
      <c r="AE52" s="66"/>
      <c r="AF52" s="70"/>
      <c r="BL52" s="367"/>
      <c r="BM52" s="340" t="s">
        <v>227</v>
      </c>
      <c r="BN52" s="352"/>
      <c r="BO52" s="355"/>
      <c r="BP52" s="3"/>
      <c r="BQ52" s="3"/>
      <c r="BR52" s="349"/>
      <c r="BS52" s="3"/>
      <c r="BT52" s="3"/>
      <c r="BU52" s="348"/>
      <c r="BW52" s="346"/>
      <c r="BX52" s="398">
        <v>5</v>
      </c>
      <c r="BY52" s="399"/>
      <c r="BZ52" s="399"/>
      <c r="CA52" s="398">
        <v>5</v>
      </c>
      <c r="CB52" s="399"/>
      <c r="CC52" s="399"/>
      <c r="CD52" s="367"/>
    </row>
    <row r="53" spans="1:82" ht="15.75" thickBot="1" x14ac:dyDescent="0.3">
      <c r="B53" s="435" t="s">
        <v>280</v>
      </c>
      <c r="C53" s="329" t="e">
        <f>(C10-C24)</f>
        <v>#DIV/0!</v>
      </c>
      <c r="D53" s="332"/>
      <c r="E53" s="333"/>
      <c r="F53" s="232"/>
      <c r="G53" s="232"/>
      <c r="H53" s="519"/>
      <c r="I53" s="76"/>
      <c r="J53" s="76"/>
      <c r="K53" s="189"/>
      <c r="M53" s="479" t="str">
        <f>CONCATENATE(LEFT($H$13,3),"/",INDEX($BD$9:$BD$21,MATCH(LEFT($H$13,3),$AS$9:$AS$21,0)))</f>
        <v>Apr/Cal20</v>
      </c>
      <c r="N53" s="133">
        <f>J13-J24</f>
        <v>2.6000000000000085</v>
      </c>
      <c r="O53" s="553"/>
      <c r="P53" s="541"/>
      <c r="Q53" s="541"/>
      <c r="R53" s="386" t="s">
        <v>31</v>
      </c>
      <c r="S53" s="387" t="s">
        <v>11</v>
      </c>
      <c r="U53" s="513"/>
      <c r="V53" s="269"/>
      <c r="W53" s="76"/>
      <c r="X53" s="189"/>
      <c r="Z53" s="516"/>
      <c r="AA53" s="189"/>
      <c r="AF53" s="70"/>
      <c r="BL53" s="367"/>
      <c r="BM53" s="340" t="s">
        <v>228</v>
      </c>
      <c r="BN53" s="352"/>
      <c r="BO53" s="355"/>
      <c r="BP53" s="3"/>
      <c r="BQ53" s="3"/>
      <c r="BR53" s="349"/>
      <c r="BS53" s="3"/>
      <c r="BT53" s="3"/>
      <c r="BU53" s="348"/>
      <c r="BW53" s="346"/>
      <c r="BX53" s="398">
        <v>5</v>
      </c>
      <c r="BY53" s="399"/>
      <c r="BZ53" s="399"/>
      <c r="CA53" s="398">
        <v>5</v>
      </c>
      <c r="CB53" s="399"/>
      <c r="CC53" s="399"/>
      <c r="CD53" s="367"/>
    </row>
    <row r="54" spans="1:82" ht="15.75" thickTop="1" x14ac:dyDescent="0.25">
      <c r="B54" s="435" t="s">
        <v>281</v>
      </c>
      <c r="C54" s="329" t="e">
        <f>(C12-C23)</f>
        <v>#DIV/0!</v>
      </c>
      <c r="D54" s="334"/>
      <c r="E54" s="333"/>
      <c r="F54" s="232"/>
      <c r="G54" s="232"/>
      <c r="H54" s="519"/>
      <c r="I54" s="76"/>
      <c r="J54" s="76"/>
      <c r="K54" s="189"/>
      <c r="M54" s="478" t="str">
        <f>CONCATENATE(LEFT($H$14,3),"/",INDEX($AU$9:$AU$21,MATCH(LEFT($H$14,3),$AT$9:$AT$21,0)))</f>
        <v>May/Jun</v>
      </c>
      <c r="N54" s="337">
        <f>J14-J15</f>
        <v>0.79999999999999716</v>
      </c>
      <c r="O54" s="553"/>
      <c r="P54" s="541"/>
      <c r="Q54" s="541"/>
      <c r="R54" s="388">
        <f>(R55+R56)</f>
        <v>0</v>
      </c>
      <c r="S54" s="388">
        <f>(S55+S56)</f>
        <v>0</v>
      </c>
      <c r="U54" s="513"/>
      <c r="V54" s="269"/>
      <c r="W54" s="76"/>
      <c r="X54" s="189"/>
      <c r="Z54" s="516"/>
      <c r="AA54" s="189"/>
      <c r="AF54" s="70"/>
      <c r="BL54" s="367"/>
      <c r="BM54" s="340" t="s">
        <v>229</v>
      </c>
      <c r="BN54" s="352"/>
      <c r="BO54" s="355"/>
      <c r="BP54" s="3"/>
      <c r="BQ54" s="3"/>
      <c r="BR54" s="349"/>
      <c r="BS54" s="3"/>
      <c r="BT54" s="3"/>
      <c r="BU54" s="348"/>
      <c r="BW54" s="346"/>
      <c r="BX54" s="398">
        <v>5</v>
      </c>
      <c r="BY54" s="399"/>
      <c r="BZ54" s="399"/>
      <c r="CA54" s="398">
        <v>5</v>
      </c>
      <c r="CB54" s="399"/>
      <c r="CC54" s="399"/>
      <c r="CD54" s="367"/>
    </row>
    <row r="55" spans="1:82" ht="15" customHeight="1" x14ac:dyDescent="0.25">
      <c r="B55" s="435" t="s">
        <v>282</v>
      </c>
      <c r="C55" s="329" t="e">
        <f>(C12-C24)</f>
        <v>#DIV/0!</v>
      </c>
      <c r="D55" s="334"/>
      <c r="E55" s="333"/>
      <c r="F55" s="232"/>
      <c r="G55" s="232"/>
      <c r="H55" s="519"/>
      <c r="I55" s="76"/>
      <c r="J55" s="76"/>
      <c r="K55" s="189"/>
      <c r="M55" s="477" t="str">
        <f>CONCATENATE(LEFT($H$14,3),"/",INDEX($AV$9:$AV$21,MATCH(LEFT($H$14,3),$AT$9:$AT$21,0)))</f>
        <v>May/Jul</v>
      </c>
      <c r="N55" s="131">
        <f>J14-J16</f>
        <v>2.0999999999999943</v>
      </c>
      <c r="O55" s="553"/>
      <c r="R55" s="279"/>
      <c r="S55" s="219"/>
      <c r="U55" s="513"/>
      <c r="V55" s="269"/>
      <c r="W55" s="76"/>
      <c r="X55" s="189"/>
      <c r="Z55" s="516"/>
      <c r="AA55" s="189"/>
      <c r="AF55" s="70"/>
      <c r="BL55" s="367"/>
      <c r="BM55" s="340" t="s">
        <v>230</v>
      </c>
      <c r="BN55" s="352"/>
      <c r="BO55" s="355"/>
      <c r="BP55" s="3"/>
      <c r="BQ55" s="3"/>
      <c r="BR55" s="349"/>
      <c r="BS55" s="3"/>
      <c r="BT55" s="3"/>
      <c r="BU55" s="348"/>
      <c r="BW55" s="346"/>
      <c r="BX55" s="398">
        <v>5</v>
      </c>
      <c r="BY55" s="399"/>
      <c r="BZ55" s="399"/>
      <c r="CA55" s="398">
        <v>5</v>
      </c>
      <c r="CB55" s="399"/>
      <c r="CC55" s="399"/>
      <c r="CD55" s="367"/>
    </row>
    <row r="56" spans="1:82" ht="15" customHeight="1" x14ac:dyDescent="0.25">
      <c r="B56" s="435" t="s">
        <v>283</v>
      </c>
      <c r="C56" s="329" t="e">
        <f>(C12-C23)</f>
        <v>#DIV/0!</v>
      </c>
      <c r="D56" s="334"/>
      <c r="E56" s="333"/>
      <c r="F56" s="232"/>
      <c r="G56" s="233"/>
      <c r="H56" s="519"/>
      <c r="I56" s="76"/>
      <c r="J56" s="76"/>
      <c r="K56" s="189"/>
      <c r="M56" s="477" t="str">
        <f>CONCATENATE(LEFT($H$14,3),"/",INDEX($AW$9:$AW$21,MATCH(LEFT($H$14,3),$AT$9:$AT$21,0)))</f>
        <v>May/Aug</v>
      </c>
      <c r="N56" s="131"/>
      <c r="O56" s="553"/>
      <c r="R56" s="403">
        <v>0</v>
      </c>
      <c r="S56" s="404">
        <v>0</v>
      </c>
      <c r="U56" s="513"/>
      <c r="V56" s="269"/>
      <c r="W56" s="76"/>
      <c r="X56" s="189"/>
      <c r="Z56" s="516"/>
      <c r="AA56" s="189"/>
      <c r="AF56" s="70"/>
      <c r="BL56" s="367"/>
      <c r="BM56" s="340" t="s">
        <v>231</v>
      </c>
      <c r="BN56" s="352"/>
      <c r="BO56" s="355"/>
      <c r="BP56" s="3"/>
      <c r="BQ56" s="3"/>
      <c r="BR56" s="349"/>
      <c r="BS56" s="3"/>
      <c r="BT56" s="3"/>
      <c r="BU56" s="348"/>
      <c r="BW56" s="346"/>
      <c r="BX56" s="398">
        <v>5</v>
      </c>
      <c r="BY56" s="399"/>
      <c r="BZ56" s="399"/>
      <c r="CA56" s="398">
        <v>5</v>
      </c>
      <c r="CB56" s="399"/>
      <c r="CC56" s="399"/>
      <c r="CD56" s="367"/>
    </row>
    <row r="57" spans="1:82" ht="15" customHeight="1" x14ac:dyDescent="0.25">
      <c r="B57" s="435" t="s">
        <v>284</v>
      </c>
      <c r="C57" s="329" t="e">
        <f>(C13-C24)</f>
        <v>#DIV/0!</v>
      </c>
      <c r="D57" s="334"/>
      <c r="E57" s="333"/>
      <c r="F57" s="233"/>
      <c r="G57" s="67"/>
      <c r="H57" s="513"/>
      <c r="I57" s="514"/>
      <c r="J57" s="521"/>
      <c r="K57" s="189"/>
      <c r="M57" s="477" t="str">
        <f>CONCATENATE(LEFT($H$14,3),"/",INDEX($AX$9:$AX$21,MATCH(LEFT($H$14,3),$AT$9:$AT$21,0)))</f>
        <v>May/Q1'20</v>
      </c>
      <c r="N57" s="131">
        <f>J14-J17</f>
        <v>-3.5</v>
      </c>
      <c r="O57" s="553"/>
      <c r="R57" s="510"/>
      <c r="S57" s="174"/>
      <c r="U57" s="513"/>
      <c r="V57" s="269"/>
      <c r="W57" s="76"/>
      <c r="X57" s="189"/>
      <c r="Z57" s="516"/>
      <c r="AA57" s="189"/>
      <c r="AF57" s="70"/>
      <c r="BL57" s="367"/>
      <c r="BM57" s="340" t="s">
        <v>232</v>
      </c>
      <c r="BN57" s="352"/>
      <c r="BO57" s="355"/>
      <c r="BP57" s="3"/>
      <c r="BQ57" s="3"/>
      <c r="BR57" s="349"/>
      <c r="BS57" s="3"/>
      <c r="BT57" s="3"/>
      <c r="BU57" s="348"/>
      <c r="BW57" s="346"/>
      <c r="BX57" s="398">
        <v>5</v>
      </c>
      <c r="BY57" s="399"/>
      <c r="BZ57" s="399"/>
      <c r="CA57" s="398">
        <v>5</v>
      </c>
      <c r="CB57" s="399"/>
      <c r="CC57" s="399"/>
      <c r="CD57" s="367"/>
    </row>
    <row r="58" spans="1:82" ht="15" customHeight="1" x14ac:dyDescent="0.25">
      <c r="B58" s="435" t="s">
        <v>285</v>
      </c>
      <c r="C58" s="329" t="e">
        <f>(C14-C24)</f>
        <v>#DIV/0!</v>
      </c>
      <c r="D58" s="334"/>
      <c r="E58" s="333"/>
      <c r="F58" s="67"/>
      <c r="G58" s="67"/>
      <c r="H58" s="513"/>
      <c r="I58" s="514"/>
      <c r="J58" s="521"/>
      <c r="K58" s="189"/>
      <c r="M58" s="477" t="str">
        <f>CONCATENATE(LEFT($H$14,3),"/",INDEX($AY$9:$AY$21,MATCH(LEFT($H$14,3),$AT$9:$AT$21,0)))</f>
        <v>May/Q2'20</v>
      </c>
      <c r="N58" s="131">
        <f>J14-J18</f>
        <v>-0.15000000000000568</v>
      </c>
      <c r="O58" s="553"/>
      <c r="R58" s="67"/>
      <c r="S58" s="67"/>
      <c r="U58" s="513"/>
      <c r="V58" s="269"/>
      <c r="W58" s="76"/>
      <c r="X58" s="189"/>
      <c r="Z58" s="516"/>
      <c r="AA58" s="189"/>
      <c r="AF58" s="70"/>
      <c r="BL58" s="367"/>
      <c r="BM58" s="340" t="s">
        <v>233</v>
      </c>
      <c r="BN58" s="352"/>
      <c r="BO58" s="355"/>
      <c r="BP58" s="3"/>
      <c r="BQ58" s="3"/>
      <c r="BR58" s="349"/>
      <c r="BS58" s="3"/>
      <c r="BT58" s="3"/>
      <c r="BU58" s="348"/>
      <c r="BW58" s="346"/>
      <c r="BX58" s="398">
        <v>5</v>
      </c>
      <c r="BY58" s="399"/>
      <c r="BZ58" s="399"/>
      <c r="CA58" s="398">
        <v>5</v>
      </c>
      <c r="CB58" s="399"/>
      <c r="CC58" s="399"/>
      <c r="CD58" s="367"/>
    </row>
    <row r="59" spans="1:82" ht="15" customHeight="1" x14ac:dyDescent="0.25">
      <c r="B59" s="435"/>
      <c r="C59" s="329"/>
      <c r="D59" s="334"/>
      <c r="E59" s="333"/>
      <c r="F59" s="67"/>
      <c r="G59" s="67"/>
      <c r="H59" s="513"/>
      <c r="I59" s="514"/>
      <c r="J59" s="521"/>
      <c r="K59" s="189"/>
      <c r="M59" s="477" t="str">
        <f>CONCATENATE(LEFT($H$14,3),"/",INDEX($AZ$9:$AZ$21,MATCH(LEFT($H$14,3),$AT$9:$AT$21,0)))</f>
        <v>May/Q3'20</v>
      </c>
      <c r="N59" s="131">
        <f>J14-J19</f>
        <v>3.2999999999999972</v>
      </c>
      <c r="O59" s="553"/>
      <c r="R59" s="166" t="s">
        <v>31</v>
      </c>
      <c r="S59" s="167" t="s">
        <v>11</v>
      </c>
      <c r="U59" s="513"/>
      <c r="V59" s="269"/>
      <c r="W59" s="76"/>
      <c r="X59" s="189"/>
      <c r="Z59" s="516"/>
      <c r="AA59" s="189"/>
      <c r="AF59" s="70"/>
      <c r="BL59" s="367"/>
      <c r="BM59" s="340" t="s">
        <v>234</v>
      </c>
      <c r="BN59" s="352"/>
      <c r="BO59" s="355"/>
      <c r="BP59" s="3"/>
      <c r="BQ59" s="3"/>
      <c r="BR59" s="349"/>
      <c r="BS59" s="3"/>
      <c r="BT59" s="3"/>
      <c r="BU59" s="348"/>
      <c r="BW59" s="346"/>
      <c r="BX59" s="398">
        <v>5</v>
      </c>
      <c r="BY59" s="399"/>
      <c r="BZ59" s="399"/>
      <c r="CA59" s="398">
        <v>5</v>
      </c>
      <c r="CB59" s="399"/>
      <c r="CC59" s="399"/>
      <c r="CD59" s="367"/>
    </row>
    <row r="60" spans="1:82" ht="15" customHeight="1" x14ac:dyDescent="0.25">
      <c r="B60" s="435"/>
      <c r="C60" s="329"/>
      <c r="D60" s="334"/>
      <c r="E60" s="333"/>
      <c r="F60" s="67"/>
      <c r="G60" s="67"/>
      <c r="H60" s="513"/>
      <c r="I60" s="514"/>
      <c r="J60" s="521"/>
      <c r="K60" s="189"/>
      <c r="M60" s="477" t="str">
        <f>CONCATENATE(LEFT($H$14,3),"/",INDEX($BA$9:$BA$21,MATCH(LEFT($H$14,3),$AT$9:$AT$21,0)))</f>
        <v>May/Q4'20</v>
      </c>
      <c r="N60" s="131">
        <f>J14-J20</f>
        <v>5.9500000000000028</v>
      </c>
      <c r="O60" s="553"/>
      <c r="R60" s="219"/>
      <c r="S60" s="218"/>
      <c r="U60" s="513"/>
      <c r="V60" s="269"/>
      <c r="W60" s="76"/>
      <c r="X60" s="189"/>
      <c r="Z60" s="516"/>
      <c r="AA60" s="189"/>
      <c r="AF60" s="70"/>
      <c r="BL60" s="367"/>
      <c r="BM60" s="340"/>
      <c r="BN60" s="352"/>
      <c r="BO60" s="355"/>
      <c r="BP60" s="3"/>
      <c r="BQ60" s="3"/>
      <c r="BR60" s="349"/>
      <c r="BS60" s="3"/>
      <c r="BT60" s="3"/>
      <c r="BU60" s="348"/>
      <c r="BW60" s="346"/>
      <c r="BX60" s="148"/>
      <c r="BY60" s="138"/>
      <c r="BZ60" s="138"/>
      <c r="CA60" s="148"/>
      <c r="CB60" s="138"/>
      <c r="CC60" s="138"/>
      <c r="CD60" s="367"/>
    </row>
    <row r="61" spans="1:82" x14ac:dyDescent="0.25">
      <c r="B61" s="435"/>
      <c r="C61" s="329"/>
      <c r="D61" s="334"/>
      <c r="E61" s="333"/>
      <c r="F61" s="67"/>
      <c r="G61" s="67"/>
      <c r="H61" s="513"/>
      <c r="I61" s="514"/>
      <c r="J61" s="521"/>
      <c r="K61" s="189"/>
      <c r="M61" s="477" t="str">
        <f>CONCATENATE(LEFT($H$14,3),"/",INDEX($BC$9:$BC$21,MATCH(LEFT($H$14,3),$AT$9:$AT$21,0)))</f>
        <v>May/1H'20</v>
      </c>
      <c r="N61" s="131">
        <f>J14-AVERAGE(J19:J20)</f>
        <v>4.625</v>
      </c>
      <c r="O61" s="553"/>
      <c r="R61" s="170"/>
      <c r="S61" s="218"/>
      <c r="U61" s="513"/>
      <c r="V61" s="269"/>
      <c r="W61" s="76"/>
      <c r="X61" s="189"/>
      <c r="Z61" s="516"/>
      <c r="AA61" s="189"/>
      <c r="AF61" s="70"/>
      <c r="BL61" s="367"/>
      <c r="BM61" s="340"/>
      <c r="BN61" s="352"/>
      <c r="BO61" s="355"/>
      <c r="BP61" s="3"/>
      <c r="BQ61" s="3"/>
      <c r="BR61" s="349"/>
      <c r="BS61" s="3"/>
      <c r="BT61" s="3"/>
      <c r="BU61" s="348"/>
      <c r="BW61" s="346"/>
      <c r="BX61" s="138"/>
      <c r="BY61" s="138"/>
      <c r="BZ61" s="138"/>
      <c r="CA61" s="138"/>
      <c r="CB61" s="138"/>
      <c r="CC61" s="138"/>
      <c r="CD61" s="367"/>
    </row>
    <row r="62" spans="1:82" ht="15.75" thickBot="1" x14ac:dyDescent="0.3">
      <c r="B62" s="442"/>
      <c r="C62" s="436"/>
      <c r="D62" s="335"/>
      <c r="E62" s="336"/>
      <c r="F62" s="67"/>
      <c r="G62" s="67"/>
      <c r="H62" s="513"/>
      <c r="I62" s="514"/>
      <c r="J62" s="521"/>
      <c r="K62" s="189"/>
      <c r="M62" s="479" t="str">
        <f>CONCATENATE(LEFT($H$14,3),"/",INDEX($BD$9:$BD$21,MATCH(LEFT($H$14,3),$AT$9:$AT$21,0)))</f>
        <v>May/Cal20</v>
      </c>
      <c r="N62" s="133">
        <f>J15-J24</f>
        <v>0.60000000000000853</v>
      </c>
      <c r="O62" s="553"/>
      <c r="R62" s="168">
        <f>(R60-S61)</f>
        <v>0</v>
      </c>
      <c r="S62" s="169">
        <f>(S60-R61)</f>
        <v>0</v>
      </c>
      <c r="U62" s="513"/>
      <c r="V62" s="269"/>
      <c r="W62" s="76"/>
      <c r="X62" s="189"/>
      <c r="Z62" s="516"/>
      <c r="AA62" s="189"/>
      <c r="AF62" s="70"/>
      <c r="BL62" s="367"/>
      <c r="BM62" s="340"/>
      <c r="BN62" s="352"/>
      <c r="BO62" s="355"/>
      <c r="BP62" s="3"/>
      <c r="BQ62" s="3"/>
      <c r="BR62" s="349"/>
      <c r="BS62" s="3"/>
      <c r="BT62" s="3"/>
      <c r="BU62" s="348"/>
      <c r="BW62" s="346"/>
      <c r="BX62" s="138"/>
      <c r="BY62" s="138"/>
      <c r="BZ62" s="138"/>
      <c r="CA62" s="138"/>
      <c r="CB62" s="138"/>
      <c r="CC62" s="138"/>
      <c r="CD62" s="367"/>
    </row>
    <row r="63" spans="1:82" x14ac:dyDescent="0.25">
      <c r="B63" s="67"/>
      <c r="C63" s="73" t="s">
        <v>6</v>
      </c>
      <c r="D63" s="73" t="s">
        <v>7</v>
      </c>
      <c r="E63" s="63"/>
      <c r="F63" s="67"/>
      <c r="G63" s="67"/>
      <c r="H63" s="513"/>
      <c r="I63" s="514"/>
      <c r="J63" s="521"/>
      <c r="K63" s="189"/>
      <c r="M63" s="478" t="str">
        <f>CONCATENATE(LEFT($H$15,3),"/",INDEX($AV$9:$AV$21,MATCH(LEFT($H$15,3),$AU$9:$AU$21,0)))</f>
        <v>Jun/Jul</v>
      </c>
      <c r="N63" s="337">
        <f>(J15-J16)</f>
        <v>1.2999999999999972</v>
      </c>
      <c r="O63" s="553"/>
      <c r="R63" s="67"/>
      <c r="S63" s="67"/>
      <c r="U63" s="513"/>
      <c r="V63" s="269"/>
      <c r="W63" s="76"/>
      <c r="X63" s="189"/>
      <c r="Z63" s="516"/>
      <c r="AA63" s="189"/>
      <c r="BL63" s="367"/>
      <c r="BM63" s="340"/>
      <c r="BN63" s="352"/>
      <c r="BO63" s="355"/>
      <c r="BP63" s="3"/>
      <c r="BQ63" s="3"/>
      <c r="BR63" s="349"/>
      <c r="BS63" s="3"/>
      <c r="BT63" s="3"/>
      <c r="BU63" s="348"/>
      <c r="BW63" s="346"/>
      <c r="BX63" s="138"/>
      <c r="BY63" s="138"/>
      <c r="BZ63" s="138"/>
      <c r="CA63" s="138"/>
      <c r="CB63" s="138"/>
      <c r="CC63" s="138"/>
      <c r="CD63" s="367"/>
    </row>
    <row r="64" spans="1:82" x14ac:dyDescent="0.25">
      <c r="B64" s="67"/>
      <c r="C64" s="196" t="s">
        <v>12</v>
      </c>
      <c r="D64" s="197" t="s">
        <v>13</v>
      </c>
      <c r="E64" s="198" t="s">
        <v>14</v>
      </c>
      <c r="F64" s="67"/>
      <c r="G64" s="67"/>
      <c r="H64" s="513"/>
      <c r="I64" s="514"/>
      <c r="J64" s="521"/>
      <c r="K64" s="189"/>
      <c r="M64" s="477" t="str">
        <f>CONCATENATE(LEFT($H$15,3),"/",INDEX($AW$9:$AW$21,MATCH(LEFT($H$15,3),$AU$9:$AU$21,0)))</f>
        <v>Jun/Aug</v>
      </c>
      <c r="N64" s="131"/>
      <c r="O64" s="553"/>
      <c r="R64" s="67"/>
      <c r="S64" s="67"/>
      <c r="U64" s="513"/>
      <c r="V64" s="269"/>
      <c r="W64" s="76"/>
      <c r="X64" s="189"/>
      <c r="Z64" s="516"/>
      <c r="AA64" s="189"/>
      <c r="BL64" s="367"/>
      <c r="BM64" s="340"/>
      <c r="BN64" s="352"/>
      <c r="BO64" s="355"/>
      <c r="BP64" s="3"/>
      <c r="BQ64" s="3"/>
      <c r="BR64" s="349"/>
      <c r="BS64" s="3"/>
      <c r="BT64" s="3"/>
      <c r="BU64" s="348"/>
      <c r="BW64" s="346"/>
      <c r="BX64" s="138"/>
      <c r="BY64" s="138"/>
      <c r="BZ64" s="138"/>
      <c r="CA64" s="138"/>
      <c r="CB64" s="138"/>
      <c r="CC64" s="138"/>
      <c r="CD64" s="367"/>
    </row>
    <row r="65" spans="2:82" x14ac:dyDescent="0.25">
      <c r="B65" s="67"/>
      <c r="C65" s="199"/>
      <c r="D65" s="77"/>
      <c r="E65" s="200"/>
      <c r="F65" s="67"/>
      <c r="G65" s="67"/>
      <c r="H65" s="513"/>
      <c r="I65" s="514"/>
      <c r="J65" s="521"/>
      <c r="K65" s="189"/>
      <c r="M65" s="477" t="str">
        <f>CONCATENATE(LEFT($H$15,3),"/",INDEX($AW$9:$AW$21,MATCH(LEFT($H$15,3),$AU$9:$AU$21,0)))</f>
        <v>Jun/Aug</v>
      </c>
      <c r="N65" s="131"/>
      <c r="O65" s="553"/>
      <c r="R65" s="67"/>
      <c r="S65" s="67"/>
      <c r="U65" s="513"/>
      <c r="V65" s="269"/>
      <c r="W65" s="76"/>
      <c r="X65" s="189"/>
      <c r="Z65" s="516"/>
      <c r="AA65" s="189"/>
      <c r="BL65" s="367"/>
      <c r="BM65" s="340"/>
      <c r="BN65" s="352"/>
      <c r="BO65" s="355"/>
      <c r="BP65" s="3"/>
      <c r="BQ65" s="3"/>
      <c r="BR65" s="349"/>
      <c r="BS65" s="3"/>
      <c r="BT65" s="3"/>
      <c r="BU65" s="348"/>
      <c r="BW65" s="346"/>
      <c r="BX65" s="138"/>
      <c r="BY65" s="138"/>
      <c r="BZ65" s="138"/>
      <c r="CA65" s="138"/>
      <c r="CB65" s="138"/>
      <c r="CC65" s="138"/>
      <c r="CD65" s="367"/>
    </row>
    <row r="66" spans="2:82" x14ac:dyDescent="0.25">
      <c r="B66" s="67"/>
      <c r="C66" s="201"/>
      <c r="D66" s="77"/>
      <c r="E66" s="200"/>
      <c r="F66" s="67"/>
      <c r="G66" s="67"/>
      <c r="H66" s="513"/>
      <c r="I66" s="514"/>
      <c r="J66" s="521"/>
      <c r="K66" s="189"/>
      <c r="M66" s="477" t="str">
        <f>CONCATENATE(LEFT($H$15,3),"/",INDEX($AX$9:$AX$21,MATCH(LEFT($H$15,3),$AU$9:$AU$21,0)))</f>
        <v>Jun/Q1'20</v>
      </c>
      <c r="N66" s="131">
        <f>J15-J17</f>
        <v>-4.2999999999999972</v>
      </c>
      <c r="O66" s="553"/>
      <c r="R66" s="67"/>
      <c r="S66" s="67"/>
      <c r="U66" s="513"/>
      <c r="V66" s="269"/>
      <c r="W66" s="76"/>
      <c r="X66" s="189"/>
      <c r="Z66" s="516"/>
      <c r="AA66" s="189"/>
      <c r="BL66" s="367"/>
      <c r="BM66" s="340"/>
      <c r="BN66" s="352"/>
      <c r="BO66" s="355"/>
      <c r="BP66" s="3"/>
      <c r="BQ66" s="3"/>
      <c r="BR66" s="349"/>
      <c r="BS66" s="3"/>
      <c r="BT66" s="3"/>
      <c r="BU66" s="348"/>
      <c r="BW66" s="346"/>
      <c r="BX66" s="138"/>
      <c r="BY66" s="138"/>
      <c r="BZ66" s="138"/>
      <c r="CA66" s="138"/>
      <c r="CB66" s="138"/>
      <c r="CC66" s="138"/>
      <c r="CD66" s="367"/>
    </row>
    <row r="67" spans="2:82" x14ac:dyDescent="0.25">
      <c r="B67" s="67"/>
      <c r="C67" s="202" t="s">
        <v>21</v>
      </c>
      <c r="D67" s="203">
        <f>(D65+D65+D66)/2</f>
        <v>0</v>
      </c>
      <c r="E67" s="204">
        <f>(E65+E65+E66)/2</f>
        <v>0</v>
      </c>
      <c r="F67" s="67"/>
      <c r="G67" s="67"/>
      <c r="H67" s="513"/>
      <c r="I67" s="514"/>
      <c r="J67" s="521"/>
      <c r="K67" s="189"/>
      <c r="M67" s="477" t="str">
        <f>CONCATENATE(LEFT($H$15,3),"/",INDEX($AY$9:$AY$21,MATCH(LEFT($H$15,3),$AU$9:$AU$21,0)))</f>
        <v>Jun/Q2'20</v>
      </c>
      <c r="N67" s="131">
        <f>J15-J18</f>
        <v>-0.95000000000000284</v>
      </c>
      <c r="O67" s="553"/>
      <c r="R67" s="67"/>
      <c r="S67" s="67"/>
      <c r="U67" s="513"/>
      <c r="V67" s="269"/>
      <c r="W67" s="76"/>
      <c r="X67" s="189"/>
      <c r="Z67" s="516"/>
      <c r="AA67" s="189"/>
      <c r="BL67" s="367"/>
      <c r="BM67" s="340"/>
      <c r="BN67" s="352"/>
      <c r="BO67" s="355"/>
      <c r="BP67" s="3"/>
      <c r="BQ67" s="3"/>
      <c r="BR67" s="349"/>
      <c r="BS67" s="3"/>
      <c r="BT67" s="3"/>
      <c r="BU67" s="348"/>
      <c r="BW67" s="346"/>
      <c r="BX67" s="138"/>
      <c r="BY67" s="138"/>
      <c r="BZ67" s="138"/>
      <c r="CA67" s="138"/>
      <c r="CB67" s="138"/>
      <c r="CC67" s="138"/>
      <c r="CD67" s="367"/>
    </row>
    <row r="68" spans="2:82" x14ac:dyDescent="0.25">
      <c r="B68" s="67"/>
      <c r="C68" s="439"/>
      <c r="D68" s="62"/>
      <c r="E68" s="63"/>
      <c r="F68" s="67"/>
      <c r="G68" s="67"/>
      <c r="H68" s="513"/>
      <c r="I68" s="514"/>
      <c r="J68" s="521"/>
      <c r="K68" s="189"/>
      <c r="M68" s="477" t="str">
        <f>CONCATENATE(LEFT($H$15,3),"/",INDEX($AZ$9:$AZ$21,MATCH(LEFT($H$15,3),$AU$9:$AU$21,0)))</f>
        <v>Jun/Q3'20</v>
      </c>
      <c r="N68" s="131">
        <f>J15-J19</f>
        <v>2.5</v>
      </c>
      <c r="O68" s="553"/>
      <c r="R68" s="67"/>
      <c r="S68" s="67"/>
      <c r="U68" s="513"/>
      <c r="V68" s="269"/>
      <c r="W68" s="76"/>
      <c r="X68" s="189"/>
      <c r="Z68" s="516"/>
      <c r="AA68" s="189"/>
      <c r="BL68" s="367"/>
      <c r="BM68" s="340"/>
      <c r="BN68" s="352"/>
      <c r="BO68" s="355"/>
      <c r="BP68" s="3"/>
      <c r="BQ68" s="3"/>
      <c r="BR68" s="349"/>
      <c r="BS68" s="3"/>
      <c r="BT68" s="3"/>
      <c r="BU68" s="348"/>
      <c r="BW68" s="346"/>
      <c r="BX68" s="138"/>
      <c r="BY68" s="138"/>
      <c r="BZ68" s="138"/>
      <c r="CA68" s="138"/>
      <c r="CB68" s="138"/>
      <c r="CC68" s="138"/>
      <c r="CD68" s="367"/>
    </row>
    <row r="69" spans="2:82" x14ac:dyDescent="0.25">
      <c r="B69" s="67"/>
      <c r="C69" s="439" t="s">
        <v>27</v>
      </c>
      <c r="D69" s="62" t="s">
        <v>28</v>
      </c>
      <c r="E69" s="63"/>
      <c r="F69" s="67"/>
      <c r="G69" s="67"/>
      <c r="H69" s="513"/>
      <c r="I69" s="514"/>
      <c r="J69" s="521"/>
      <c r="K69" s="189"/>
      <c r="M69" s="477" t="str">
        <f>CONCATENATE(LEFT($H$15,3),"/",INDEX($BA$9:$BA$21,MATCH(LEFT($H$15,3),$AU$9:$AU$21,0)))</f>
        <v>Jun/Q4'20</v>
      </c>
      <c r="N69" s="131">
        <f>J15-J20</f>
        <v>5.1500000000000057</v>
      </c>
      <c r="O69" s="553"/>
      <c r="R69" s="67"/>
      <c r="S69" s="67"/>
      <c r="U69" s="513"/>
      <c r="V69" s="269"/>
      <c r="W69" s="76"/>
      <c r="X69" s="189"/>
      <c r="Z69" s="516"/>
      <c r="AA69" s="189"/>
      <c r="AF69" s="107"/>
      <c r="BL69" s="367"/>
      <c r="BM69" s="340"/>
      <c r="BN69" s="352"/>
      <c r="BO69" s="355"/>
      <c r="BP69" s="3"/>
      <c r="BQ69" s="3"/>
      <c r="BR69" s="349"/>
      <c r="BS69" s="3"/>
      <c r="BT69" s="3"/>
      <c r="BU69" s="348"/>
      <c r="BW69" s="346"/>
      <c r="BX69" s="138"/>
      <c r="BY69" s="138"/>
      <c r="BZ69" s="138"/>
      <c r="CA69" s="138"/>
      <c r="CB69" s="138"/>
      <c r="CC69" s="138"/>
      <c r="CD69" s="367"/>
    </row>
    <row r="70" spans="2:82" x14ac:dyDescent="0.25">
      <c r="B70" s="67"/>
      <c r="C70" s="205" t="s">
        <v>32</v>
      </c>
      <c r="D70" s="197" t="s">
        <v>13</v>
      </c>
      <c r="E70" s="198" t="s">
        <v>14</v>
      </c>
      <c r="F70" s="67"/>
      <c r="G70" s="67"/>
      <c r="H70" s="513"/>
      <c r="I70" s="514"/>
      <c r="J70" s="521"/>
      <c r="K70" s="189"/>
      <c r="M70" s="477" t="str">
        <f>CONCATENATE(LEFT($H$15,3),"/",INDEX($BC$9:$BC$21,MATCH(LEFT($H$15,3),$AU$9:$AU$21,0)))</f>
        <v>Jun/1H'20</v>
      </c>
      <c r="N70" s="131">
        <f>J15-AVERAGE(J18:J19)</f>
        <v>0.77499999999999147</v>
      </c>
      <c r="O70" s="553"/>
      <c r="R70" s="67"/>
      <c r="S70" s="67"/>
      <c r="U70" s="268"/>
      <c r="V70" s="269"/>
      <c r="W70" s="76"/>
      <c r="X70" s="189"/>
      <c r="Z70" s="516"/>
      <c r="AA70" s="189"/>
      <c r="AF70" s="107"/>
      <c r="BL70" s="367"/>
      <c r="BM70" s="340"/>
      <c r="BN70" s="352"/>
      <c r="BO70" s="355"/>
      <c r="BP70" s="3"/>
      <c r="BQ70" s="3"/>
      <c r="BR70" s="349"/>
      <c r="BS70" s="3"/>
      <c r="BT70" s="3"/>
      <c r="BU70" s="348"/>
      <c r="BW70" s="346"/>
      <c r="BX70" s="138"/>
      <c r="BY70" s="138"/>
      <c r="BZ70" s="138"/>
      <c r="CA70" s="138"/>
      <c r="CB70" s="138"/>
      <c r="CC70" s="138"/>
      <c r="CD70" s="367"/>
    </row>
    <row r="71" spans="2:82" ht="15.75" thickBot="1" x14ac:dyDescent="0.3">
      <c r="B71" s="67"/>
      <c r="C71" s="199"/>
      <c r="D71" s="77"/>
      <c r="E71" s="200"/>
      <c r="F71" s="67"/>
      <c r="G71" s="67"/>
      <c r="H71" s="513"/>
      <c r="I71" s="514"/>
      <c r="J71" s="521"/>
      <c r="K71" s="189"/>
      <c r="M71" s="479" t="str">
        <f>CONCATENATE(LEFT($H$15,3),"/",INDEX($BD$9:$BD$21,MATCH(LEFT($H$15,3),$AU$9:$AU$21,0)))</f>
        <v>Jun/Cal20</v>
      </c>
      <c r="N71" s="133">
        <f>J15-J24</f>
        <v>0.60000000000000853</v>
      </c>
      <c r="O71" s="553"/>
      <c r="R71" s="67"/>
      <c r="S71" s="67"/>
      <c r="U71" s="514"/>
      <c r="V71" s="510"/>
      <c r="W71" s="514"/>
      <c r="X71" s="510"/>
      <c r="Y71" s="514"/>
      <c r="Z71" s="510"/>
      <c r="AA71" s="514"/>
      <c r="AF71" s="107"/>
      <c r="BL71" s="367"/>
      <c r="BM71" s="340"/>
      <c r="BN71" s="352"/>
      <c r="BO71" s="355"/>
      <c r="BP71" s="3"/>
      <c r="BQ71" s="3"/>
      <c r="BR71" s="349"/>
      <c r="BS71" s="3"/>
      <c r="BT71" s="3"/>
      <c r="BU71" s="348"/>
      <c r="BW71" s="346"/>
      <c r="BX71" s="138"/>
      <c r="BY71" s="138"/>
      <c r="BZ71" s="138"/>
      <c r="CA71" s="138"/>
      <c r="CB71" s="138"/>
      <c r="CC71" s="138"/>
      <c r="CD71" s="367"/>
    </row>
    <row r="72" spans="2:82" ht="15" customHeight="1" thickTop="1" x14ac:dyDescent="0.25">
      <c r="B72" s="67"/>
      <c r="C72" s="201"/>
      <c r="D72" s="77"/>
      <c r="E72" s="200"/>
      <c r="F72" s="67"/>
      <c r="G72" s="67"/>
      <c r="H72" s="513"/>
      <c r="I72" s="514"/>
      <c r="J72" s="521"/>
      <c r="K72" s="189"/>
      <c r="M72" s="499" t="str">
        <f>CONCATENATE(CONCATENATE(LEFT($H$17,2),"'",RIGHT($H$17,2)),"/",INDEX($AY$9:$AY$21,MATCH(CONCATENATE(LEFT($H$17,2),"'",RIGHT($H$17,2)),$AX$9:$AX$21,0)))</f>
        <v>Q1'20/Q2'20</v>
      </c>
      <c r="N72" s="501">
        <f>J17-J18</f>
        <v>3.3499999999999943</v>
      </c>
      <c r="O72" s="553"/>
      <c r="R72" s="67"/>
      <c r="S72" s="67"/>
      <c r="U72" s="514"/>
      <c r="V72" s="510"/>
      <c r="W72" s="514"/>
      <c r="X72" s="510"/>
      <c r="Y72" s="514"/>
      <c r="Z72" s="510"/>
      <c r="AA72" s="514"/>
      <c r="AF72" s="107"/>
      <c r="BL72" s="367"/>
      <c r="BM72" s="360"/>
      <c r="BN72" s="361"/>
      <c r="BO72" s="362"/>
      <c r="BP72" s="3"/>
      <c r="BQ72" s="3"/>
      <c r="BR72" s="349"/>
      <c r="BS72" s="3"/>
      <c r="BT72" s="3"/>
      <c r="BU72" s="348"/>
      <c r="BW72" s="346"/>
      <c r="BX72" s="138"/>
      <c r="BY72" s="138"/>
      <c r="BZ72" s="138"/>
      <c r="CA72" s="138"/>
      <c r="CB72" s="138"/>
      <c r="CC72" s="138"/>
      <c r="CD72" s="367"/>
    </row>
    <row r="73" spans="2:82" x14ac:dyDescent="0.25">
      <c r="B73" s="67"/>
      <c r="C73" s="201"/>
      <c r="D73" s="77"/>
      <c r="E73" s="200"/>
      <c r="F73" s="67"/>
      <c r="G73" s="67"/>
      <c r="H73" s="513"/>
      <c r="I73" s="514"/>
      <c r="J73" s="521"/>
      <c r="K73" s="189"/>
      <c r="M73" s="477" t="str">
        <f>CONCATENATE(CONCATENATE(LEFT($H$17,2),"'",RIGHT($H$17,2)),"/",INDEX($AZ$9:$AZ$21,MATCH(CONCATENATE(LEFT($H$17,2),"'",RIGHT($H$17,2)),$AX$9:$AX$21,0)))</f>
        <v>Q1'20/Q3'20</v>
      </c>
      <c r="N73" s="131">
        <f>J17-J19</f>
        <v>6.7999999999999972</v>
      </c>
      <c r="O73" s="553"/>
      <c r="R73" s="67"/>
      <c r="S73" s="67"/>
      <c r="U73" s="514"/>
      <c r="V73" s="510"/>
      <c r="W73" s="514"/>
      <c r="X73" s="510"/>
      <c r="Y73" s="514"/>
      <c r="Z73" s="510"/>
      <c r="AA73" s="514"/>
      <c r="AF73" s="107"/>
      <c r="BL73" s="378"/>
      <c r="BM73" s="649" t="s">
        <v>261</v>
      </c>
      <c r="BN73" s="650"/>
      <c r="BO73" s="650"/>
      <c r="BP73" s="650"/>
      <c r="BQ73" s="650"/>
      <c r="BR73" s="650"/>
      <c r="BS73" s="650"/>
      <c r="BT73" s="650"/>
      <c r="BU73" s="650"/>
      <c r="BV73" s="650"/>
      <c r="BW73" s="651"/>
      <c r="BX73" s="652" t="s">
        <v>258</v>
      </c>
      <c r="BY73" s="652"/>
      <c r="BZ73" s="652"/>
      <c r="CA73" s="653" t="s">
        <v>259</v>
      </c>
      <c r="CB73" s="653"/>
      <c r="CC73" s="653"/>
      <c r="CD73" s="367"/>
    </row>
    <row r="74" spans="2:82" x14ac:dyDescent="0.25">
      <c r="B74" s="67"/>
      <c r="C74" s="202" t="s">
        <v>21</v>
      </c>
      <c r="D74" s="206">
        <f>(D71+D72+D72+D73)/2</f>
        <v>0</v>
      </c>
      <c r="E74" s="204">
        <f>(E71+E72+E72+E73)/2</f>
        <v>0</v>
      </c>
      <c r="F74" s="67"/>
      <c r="G74" s="67"/>
      <c r="H74" s="513"/>
      <c r="I74" s="514"/>
      <c r="J74" s="74"/>
      <c r="K74" s="189"/>
      <c r="M74" s="477" t="str">
        <f>CONCATENATE(CONCATENATE(LEFT($H$17,2),"'",RIGHT($H$17,2)),"/",INDEX($BA$9:$BA$21,MATCH(CONCATENATE(LEFT($H$17,2),"'",RIGHT($H$17,2)),$AX$9:$AX$21,0)))</f>
        <v>Q1'20/Q4'20</v>
      </c>
      <c r="N74" s="131">
        <f>J17-J20</f>
        <v>9.4500000000000028</v>
      </c>
      <c r="O74" s="553"/>
      <c r="R74" s="67"/>
      <c r="S74" s="67"/>
      <c r="U74" s="514"/>
      <c r="V74" s="510"/>
      <c r="W74" s="514"/>
      <c r="X74" s="510"/>
      <c r="Y74" s="514"/>
      <c r="Z74" s="510"/>
      <c r="AA74" s="514"/>
      <c r="AF74" s="107"/>
      <c r="BL74" s="367"/>
      <c r="BM74" s="370" t="s">
        <v>157</v>
      </c>
      <c r="BN74" s="381"/>
      <c r="BO74" s="382"/>
      <c r="BP74" s="370" t="s">
        <v>123</v>
      </c>
      <c r="BQ74" s="371"/>
      <c r="BR74" s="372"/>
      <c r="BS74" s="373" t="s">
        <v>71</v>
      </c>
      <c r="BT74" s="371"/>
      <c r="BU74" s="372"/>
      <c r="BV74" s="374" t="s">
        <v>255</v>
      </c>
      <c r="BW74" s="375">
        <v>86</v>
      </c>
      <c r="BX74" s="400">
        <v>5</v>
      </c>
      <c r="BY74" s="400">
        <v>5</v>
      </c>
      <c r="BZ74" s="400">
        <v>5</v>
      </c>
      <c r="CA74" s="400">
        <v>5</v>
      </c>
      <c r="CB74" s="400">
        <v>5</v>
      </c>
      <c r="CC74" s="400">
        <v>5</v>
      </c>
      <c r="CD74" s="367"/>
    </row>
    <row r="75" spans="2:82" x14ac:dyDescent="0.25">
      <c r="B75" s="67"/>
      <c r="C75" s="73"/>
      <c r="D75" s="62"/>
      <c r="E75" s="63"/>
      <c r="F75" s="67"/>
      <c r="G75" s="67"/>
      <c r="H75" s="513"/>
      <c r="I75" s="514"/>
      <c r="J75" s="521"/>
      <c r="K75" s="521"/>
      <c r="M75" s="477" t="str">
        <f>CONCATENATE(CONCATENATE(LEFT($H$17,2),"'",RIGHT($H$17,2)),"/",INDEX($BB$9:$BB$21,MATCH(CONCATENATE(LEFT($H$17,2),"'",RIGHT($H$17,2)),$AX$9:$AX$21,0)))</f>
        <v>Q1'20/Q1'21</v>
      </c>
      <c r="N75" s="131">
        <f>(J17)-(J21)</f>
        <v>11.400000000000006</v>
      </c>
      <c r="O75" s="553"/>
      <c r="R75" s="67"/>
      <c r="S75" s="67"/>
      <c r="U75" s="514"/>
      <c r="V75" s="510"/>
      <c r="W75" s="514"/>
      <c r="X75" s="510"/>
      <c r="Y75" s="514"/>
      <c r="Z75" s="510"/>
      <c r="AA75" s="514"/>
      <c r="AF75" s="107"/>
      <c r="BL75" s="367"/>
      <c r="BM75" s="363" t="s">
        <v>159</v>
      </c>
      <c r="BN75" s="351"/>
      <c r="BO75" s="354"/>
      <c r="BP75" s="363" t="s">
        <v>137</v>
      </c>
      <c r="BQ75" s="350"/>
      <c r="BR75" s="353"/>
      <c r="BS75" s="364" t="s">
        <v>147</v>
      </c>
      <c r="BT75" s="350">
        <f>N109-0.05</f>
        <v>8.7499999999999964</v>
      </c>
      <c r="BU75" s="353">
        <f>N109+0.05</f>
        <v>8.8499999999999979</v>
      </c>
      <c r="BV75" s="341" t="s">
        <v>256</v>
      </c>
      <c r="BW75" s="359">
        <v>78</v>
      </c>
      <c r="BX75" s="400">
        <v>5</v>
      </c>
      <c r="BY75" s="400">
        <v>5</v>
      </c>
      <c r="BZ75" s="400">
        <v>5</v>
      </c>
      <c r="CA75" s="400">
        <v>5</v>
      </c>
      <c r="CB75" s="400">
        <v>5</v>
      </c>
      <c r="CC75" s="400">
        <v>5</v>
      </c>
      <c r="CD75" s="367"/>
    </row>
    <row r="76" spans="2:82" x14ac:dyDescent="0.25">
      <c r="B76" s="67"/>
      <c r="C76" s="439" t="s">
        <v>46</v>
      </c>
      <c r="D76" s="62"/>
      <c r="E76" s="63"/>
      <c r="F76" s="67"/>
      <c r="G76" s="67"/>
      <c r="H76" s="513"/>
      <c r="I76" s="514"/>
      <c r="J76" s="521"/>
      <c r="K76" s="189"/>
      <c r="M76" s="477" t="str">
        <f>CONCATENATE(CONCATENATE(LEFT($H$17,2),"'",RIGHT($H$17,2)),"/",INDEX($BC$9:$BC$21,MATCH(CONCATENATE(LEFT($H$17,2),"'",RIGHT($H$17,2)),$AX$9:$AX$21,0)))</f>
        <v>Q1'20/1H'20</v>
      </c>
      <c r="N76" s="131">
        <f>J17-AVERAGE(J18:J19)</f>
        <v>5.0749999999999886</v>
      </c>
      <c r="O76" s="553"/>
      <c r="R76" s="67"/>
      <c r="S76" s="67"/>
      <c r="U76" s="514"/>
      <c r="V76" s="510"/>
      <c r="W76" s="514"/>
      <c r="X76" s="510"/>
      <c r="Y76" s="514"/>
      <c r="Z76" s="510"/>
      <c r="AA76" s="514"/>
      <c r="AF76" s="107"/>
      <c r="AG76" s="84"/>
      <c r="BL76" s="367"/>
      <c r="BM76" s="363" t="s">
        <v>164</v>
      </c>
      <c r="BN76" s="351"/>
      <c r="BO76" s="354"/>
      <c r="BP76" s="363" t="s">
        <v>146</v>
      </c>
      <c r="BQ76" s="350"/>
      <c r="BR76" s="353"/>
      <c r="BS76" s="364" t="s">
        <v>253</v>
      </c>
      <c r="BT76" s="350">
        <f>N110-0.05</f>
        <v>4.9999999999999973</v>
      </c>
      <c r="BU76" s="353">
        <f>N110+0.05</f>
        <v>5.099999999999997</v>
      </c>
      <c r="BV76" s="341" t="s">
        <v>257</v>
      </c>
      <c r="BW76" s="359">
        <v>76</v>
      </c>
      <c r="BX76" s="400">
        <v>5</v>
      </c>
      <c r="BY76" s="400">
        <v>5</v>
      </c>
      <c r="BZ76" s="400">
        <v>5</v>
      </c>
      <c r="CA76" s="400">
        <v>5</v>
      </c>
      <c r="CB76" s="400">
        <v>5</v>
      </c>
      <c r="CC76" s="400">
        <v>5</v>
      </c>
      <c r="CD76" s="367"/>
    </row>
    <row r="77" spans="2:82" ht="15.75" thickBot="1" x14ac:dyDescent="0.3">
      <c r="B77" s="67"/>
      <c r="C77" s="440" t="s">
        <v>50</v>
      </c>
      <c r="D77" s="207"/>
      <c r="E77" s="208"/>
      <c r="F77" s="67"/>
      <c r="G77" s="67"/>
      <c r="H77" s="513"/>
      <c r="I77" s="514"/>
      <c r="J77" s="521"/>
      <c r="K77" s="189"/>
      <c r="M77" s="479" t="str">
        <f>CONCATENATE(CONCATENATE(LEFT($H$17,2),"'",RIGHT($H$17,2)),"/",INDEX($BD$9:$BD$21,MATCH(CONCATENATE(LEFT($H$17,2),"'",RIGHT($H$17,2)),$AX$9:$AX$21,0)))</f>
        <v>Q1'20/Cal20</v>
      </c>
      <c r="N77" s="244">
        <f>J17-J24</f>
        <v>4.9000000000000057</v>
      </c>
      <c r="O77" s="553"/>
      <c r="R77" s="67"/>
      <c r="S77" s="67"/>
      <c r="U77" s="514"/>
      <c r="V77" s="510"/>
      <c r="W77" s="514"/>
      <c r="X77" s="510"/>
      <c r="Y77" s="514"/>
      <c r="Z77" s="510"/>
      <c r="AA77" s="514"/>
      <c r="AF77" s="107"/>
      <c r="AG77" s="86"/>
      <c r="BL77" s="367"/>
      <c r="BM77" s="363" t="s">
        <v>166</v>
      </c>
      <c r="BN77" s="351"/>
      <c r="BO77" s="354"/>
      <c r="BP77" s="363" t="s">
        <v>158</v>
      </c>
      <c r="BQ77" s="350"/>
      <c r="BR77" s="353"/>
      <c r="BS77" s="364" t="s">
        <v>254</v>
      </c>
      <c r="BT77" s="350"/>
      <c r="BU77" s="353"/>
      <c r="BW77" s="346" t="s">
        <v>263</v>
      </c>
      <c r="BX77" s="400">
        <v>5</v>
      </c>
      <c r="BY77" s="400">
        <v>5</v>
      </c>
      <c r="BZ77" s="400">
        <v>5</v>
      </c>
      <c r="CA77" s="400">
        <v>5</v>
      </c>
      <c r="CB77" s="400">
        <v>5</v>
      </c>
      <c r="CC77" s="400">
        <v>5</v>
      </c>
      <c r="CD77" s="367"/>
    </row>
    <row r="78" spans="2:82" x14ac:dyDescent="0.25">
      <c r="B78" s="67"/>
      <c r="C78" s="209"/>
      <c r="D78" s="80"/>
      <c r="E78" s="210"/>
      <c r="F78" s="67"/>
      <c r="G78" s="67"/>
      <c r="H78" s="513"/>
      <c r="I78" s="514"/>
      <c r="J78" s="521"/>
      <c r="K78" s="189"/>
      <c r="M78" s="499" t="str">
        <f>CONCATENATE(CONCATENATE(LEFT($H$18,2),"'",RIGHT($H$18,2)),"/",INDEX($AY$9:$AY$21,MATCH(CONCATENATE(LEFT($H$18,2),"'",RIGHT($H$18,2)),$AX$9:$AX$21,0)))</f>
        <v>Q2'20/Q3'20</v>
      </c>
      <c r="N78" s="502">
        <f>J18-J19</f>
        <v>3.4500000000000028</v>
      </c>
      <c r="O78" s="553"/>
      <c r="R78" s="67"/>
      <c r="S78" s="67"/>
      <c r="U78" s="514"/>
      <c r="V78" s="510"/>
      <c r="W78" s="514"/>
      <c r="X78" s="510"/>
      <c r="Y78" s="514"/>
      <c r="Z78" s="510"/>
      <c r="AA78" s="514"/>
      <c r="AF78" s="107"/>
      <c r="AG78" s="86"/>
      <c r="BL78" s="367"/>
      <c r="BM78" s="363" t="s">
        <v>170</v>
      </c>
      <c r="BN78" s="351"/>
      <c r="BO78" s="354"/>
      <c r="BP78" s="363" t="s">
        <v>167</v>
      </c>
      <c r="BQ78" s="350">
        <f>N72-0.05</f>
        <v>3.2999999999999945</v>
      </c>
      <c r="BR78" s="353">
        <f>N72+0.05</f>
        <v>3.3999999999999941</v>
      </c>
      <c r="BS78" s="364"/>
      <c r="BT78" s="350"/>
      <c r="BU78" s="353"/>
      <c r="BX78" s="400">
        <v>5</v>
      </c>
      <c r="BY78" s="400">
        <v>5</v>
      </c>
      <c r="BZ78" s="399"/>
      <c r="CA78" s="400">
        <v>5</v>
      </c>
      <c r="CB78" s="400">
        <v>5</v>
      </c>
      <c r="CC78" s="399"/>
      <c r="CD78" s="367"/>
    </row>
    <row r="79" spans="2:82" x14ac:dyDescent="0.25">
      <c r="B79" s="67"/>
      <c r="C79" s="199"/>
      <c r="D79" s="77"/>
      <c r="E79" s="200"/>
      <c r="F79" s="67"/>
      <c r="G79" s="67"/>
      <c r="H79" s="513"/>
      <c r="I79" s="514"/>
      <c r="J79" s="521"/>
      <c r="K79" s="189"/>
      <c r="M79" s="477" t="str">
        <f>CONCATENATE(CONCATENATE(LEFT($H$18,2),"'",RIGHT($H$18,2)),"/",INDEX($AZ$9:$AZ$21,MATCH(CONCATENATE(LEFT($H$18,2),"'",RIGHT($H$18,2)),$AX$9:$AX$21,0)))</f>
        <v>Q2'20/Q4'20</v>
      </c>
      <c r="N79" s="131">
        <f>J18-J20</f>
        <v>6.1000000000000085</v>
      </c>
      <c r="O79" s="553"/>
      <c r="R79" s="67"/>
      <c r="S79" s="67"/>
      <c r="U79" s="514"/>
      <c r="V79" s="510"/>
      <c r="W79" s="514"/>
      <c r="X79" s="510"/>
      <c r="Y79" s="514"/>
      <c r="Z79" s="510"/>
      <c r="AA79" s="514"/>
      <c r="AF79" s="107"/>
      <c r="AG79" s="86"/>
      <c r="BL79" s="367"/>
      <c r="BM79" s="363" t="s">
        <v>238</v>
      </c>
      <c r="BN79" s="351"/>
      <c r="BO79" s="354"/>
      <c r="BP79" s="363" t="s">
        <v>179</v>
      </c>
      <c r="BQ79" s="350">
        <f>N78-0.05</f>
        <v>3.400000000000003</v>
      </c>
      <c r="BR79" s="353">
        <f>N78+0.05</f>
        <v>3.5000000000000027</v>
      </c>
      <c r="BS79" s="364"/>
      <c r="BT79" s="350"/>
      <c r="BU79" s="353"/>
      <c r="BX79" s="400">
        <v>5</v>
      </c>
      <c r="BY79" s="400">
        <v>5</v>
      </c>
      <c r="BZ79" s="399"/>
      <c r="CA79" s="400">
        <v>5</v>
      </c>
      <c r="CB79" s="400">
        <v>5</v>
      </c>
      <c r="CC79" s="399"/>
      <c r="CD79" s="367"/>
    </row>
    <row r="80" spans="2:82" x14ac:dyDescent="0.25">
      <c r="B80" s="67"/>
      <c r="C80" s="199"/>
      <c r="D80" s="77"/>
      <c r="E80" s="200"/>
      <c r="F80" s="67"/>
      <c r="G80" s="67"/>
      <c r="H80" s="513"/>
      <c r="I80" s="514"/>
      <c r="J80" s="521"/>
      <c r="K80" s="189"/>
      <c r="M80" s="477" t="str">
        <f>CONCATENATE(CONCATENATE(LEFT($H$18,2),"'",RIGHT($H$18,2)),"/",INDEX($BA$9:$BA$21,MATCH(CONCATENATE(LEFT($H$18,2),"'",RIGHT($H$18,2)),$AX$9:$AX$21,0)))</f>
        <v>Q2'20/Q1'21</v>
      </c>
      <c r="N80" s="131">
        <f>J18-J21</f>
        <v>8.0500000000000114</v>
      </c>
      <c r="O80" s="553"/>
      <c r="R80" s="67"/>
      <c r="S80" s="67"/>
      <c r="U80" s="514"/>
      <c r="V80" s="510"/>
      <c r="W80" s="514"/>
      <c r="X80" s="510"/>
      <c r="Y80" s="514"/>
      <c r="Z80" s="510"/>
      <c r="AA80" s="514"/>
      <c r="BL80" s="367"/>
      <c r="BM80" s="363" t="s">
        <v>178</v>
      </c>
      <c r="BN80" s="351"/>
      <c r="BO80" s="354"/>
      <c r="BP80" s="363" t="s">
        <v>244</v>
      </c>
      <c r="BQ80" s="350">
        <f>N84-0.05</f>
        <v>2.6000000000000059</v>
      </c>
      <c r="BR80" s="353">
        <f>N84+0.05</f>
        <v>2.7000000000000055</v>
      </c>
      <c r="BS80" s="364"/>
      <c r="BT80" s="350"/>
      <c r="BU80" s="353"/>
      <c r="BX80" s="400">
        <v>5</v>
      </c>
      <c r="BY80" s="400">
        <v>5</v>
      </c>
      <c r="BZ80" s="399"/>
      <c r="CA80" s="400">
        <v>5</v>
      </c>
      <c r="CB80" s="400">
        <v>5</v>
      </c>
      <c r="CC80" s="399"/>
      <c r="CD80" s="367"/>
    </row>
    <row r="81" spans="2:82" x14ac:dyDescent="0.25">
      <c r="B81" s="67"/>
      <c r="C81" s="199"/>
      <c r="D81" s="77"/>
      <c r="E81" s="200"/>
      <c r="F81" s="67"/>
      <c r="G81" s="67"/>
      <c r="H81" s="513"/>
      <c r="I81" s="514"/>
      <c r="J81" s="521"/>
      <c r="K81" s="189"/>
      <c r="M81" s="477" t="str">
        <f>CONCATENATE(CONCATENATE(LEFT($H$18,2),"'",RIGHT($H$18,2)),"/",INDEX($BB$9:$BB$21,MATCH(CONCATENATE(LEFT($H$18,2),"'",RIGHT($H$18,2)),$AX$9:$AX$21,0)))</f>
        <v>Q2'20/Q2'21</v>
      </c>
      <c r="N81" s="131">
        <f>J18-AVERAGE(J22)</f>
        <v>9.75</v>
      </c>
      <c r="O81" s="553"/>
      <c r="R81" s="67"/>
      <c r="S81" s="67"/>
      <c r="U81" s="514"/>
      <c r="V81" s="510"/>
      <c r="W81" s="514"/>
      <c r="X81" s="510"/>
      <c r="Y81" s="514"/>
      <c r="Z81" s="510"/>
      <c r="AA81" s="514"/>
      <c r="BL81" s="367"/>
      <c r="BM81" s="363" t="s">
        <v>239</v>
      </c>
      <c r="BN81" s="351"/>
      <c r="BO81" s="354"/>
      <c r="BP81" s="363" t="s">
        <v>245</v>
      </c>
      <c r="BQ81" s="350">
        <f>N90-0.05</f>
        <v>1.9000000000000028</v>
      </c>
      <c r="BR81" s="353">
        <f>N90+0.05</f>
        <v>2.0000000000000027</v>
      </c>
      <c r="BX81" s="400">
        <v>5</v>
      </c>
      <c r="BY81" s="400">
        <v>5</v>
      </c>
      <c r="BZ81" s="399"/>
      <c r="CA81" s="400">
        <v>5</v>
      </c>
      <c r="CB81" s="400">
        <v>5</v>
      </c>
      <c r="CC81" s="399"/>
      <c r="CD81" s="367"/>
    </row>
    <row r="82" spans="2:82" x14ac:dyDescent="0.25">
      <c r="B82" s="67"/>
      <c r="C82" s="202" t="s">
        <v>21</v>
      </c>
      <c r="D82" s="206">
        <f>(D78+D78+D79+D79+D80+D80+D81)/2</f>
        <v>0</v>
      </c>
      <c r="E82" s="204">
        <f>(E78+E78+E79+E79+E80+E80+E81)/2</f>
        <v>0</v>
      </c>
      <c r="F82" s="67"/>
      <c r="G82" s="67"/>
      <c r="H82" s="513"/>
      <c r="I82" s="514"/>
      <c r="J82" s="521"/>
      <c r="K82" s="189"/>
      <c r="M82" s="477" t="str">
        <f>CONCATENATE(CONCATENATE(LEFT($H$18,2),"'",RIGHT($H$18,2)),"/",INDEX($BC$9:$BC$21,MATCH(CONCATENATE(LEFT($H$17,2),"'",RIGHT($H$17,2)),$AX$9:$AX$21,0)))</f>
        <v>Q2'20/1H'20</v>
      </c>
      <c r="N82" s="131">
        <f>J18-AVERAGE(J17:J18)</f>
        <v>-1.6749999999999972</v>
      </c>
      <c r="O82" s="553"/>
      <c r="R82" s="67"/>
      <c r="S82" s="67"/>
      <c r="U82" s="514"/>
      <c r="V82" s="510"/>
      <c r="W82" s="514"/>
      <c r="X82" s="510"/>
      <c r="Y82" s="514"/>
      <c r="Z82" s="510"/>
      <c r="AA82" s="514"/>
      <c r="BL82" s="367"/>
      <c r="BM82" s="363" t="s">
        <v>240</v>
      </c>
      <c r="BN82" s="351"/>
      <c r="BO82" s="354"/>
      <c r="BP82" s="363" t="s">
        <v>246</v>
      </c>
      <c r="BQ82" s="350">
        <f>N96-0.05</f>
        <v>1.6499999999999886</v>
      </c>
      <c r="BR82" s="353">
        <f>N96+0.05</f>
        <v>1.7499999999999887</v>
      </c>
      <c r="BX82" s="400">
        <v>5</v>
      </c>
      <c r="BY82" s="400">
        <v>5</v>
      </c>
      <c r="BZ82" s="399"/>
      <c r="CA82" s="400">
        <v>5</v>
      </c>
      <c r="CB82" s="400">
        <v>5</v>
      </c>
      <c r="CC82" s="399"/>
      <c r="CD82" s="367"/>
    </row>
    <row r="83" spans="2:82" ht="15.75" thickBot="1" x14ac:dyDescent="0.3">
      <c r="B83" s="274"/>
      <c r="C83" s="123"/>
      <c r="D83" s="123"/>
      <c r="E83" s="578"/>
      <c r="F83" s="67"/>
      <c r="G83" s="67"/>
      <c r="H83" s="513"/>
      <c r="I83" s="514"/>
      <c r="J83" s="521"/>
      <c r="K83" s="189"/>
      <c r="M83" s="479" t="str">
        <f>CONCATENATE(CONCATENATE(LEFT($H$18,2),"'",RIGHT($H$18,2)),"/",INDEX($BD$9:$BD$21,MATCH(CONCATENATE(LEFT($H$17,2),"'",RIGHT($H$17,2)),$AX$9:$AX$21,0)))</f>
        <v>Q2'20/Cal20</v>
      </c>
      <c r="N83" s="244">
        <f>J18-J24</f>
        <v>1.5500000000000114</v>
      </c>
      <c r="O83" s="553"/>
      <c r="R83" s="67"/>
      <c r="S83" s="67"/>
      <c r="U83" s="514"/>
      <c r="V83" s="510"/>
      <c r="W83" s="514"/>
      <c r="X83" s="510"/>
      <c r="Y83" s="514"/>
      <c r="Z83" s="510"/>
      <c r="AA83" s="514"/>
      <c r="BL83" s="367"/>
      <c r="BM83" s="363" t="s">
        <v>241</v>
      </c>
      <c r="BN83" s="351"/>
      <c r="BO83" s="354"/>
      <c r="BP83" s="363" t="s">
        <v>247</v>
      </c>
      <c r="BQ83" s="350">
        <f>N102-0.05</f>
        <v>2.2000000000000002</v>
      </c>
      <c r="BR83" s="353">
        <f>N102+0.05</f>
        <v>2.2999999999999998</v>
      </c>
      <c r="BX83" s="400">
        <v>5</v>
      </c>
      <c r="BY83" s="400">
        <v>5</v>
      </c>
      <c r="BZ83" s="399"/>
      <c r="CA83" s="400">
        <v>5</v>
      </c>
      <c r="CB83" s="400">
        <v>5</v>
      </c>
      <c r="CC83" s="399"/>
      <c r="CD83" s="367"/>
    </row>
    <row r="84" spans="2:82" ht="15.75" thickTop="1" x14ac:dyDescent="0.25">
      <c r="F84" s="65"/>
      <c r="G84" s="65"/>
      <c r="H84" s="624"/>
      <c r="I84" s="625"/>
      <c r="J84" s="521"/>
      <c r="K84" s="189"/>
      <c r="M84" s="499" t="str">
        <f>CONCATENATE(CONCATENATE(LEFT($H$19,2),"'",RIGHT($H$19,2)),"/",INDEX($AY$9:$AY$21,MATCH(CONCATENATE(LEFT($H$19,2),"'",RIGHT($H$19,2)),$AX$9:$AX$21,0)))</f>
        <v>Q3'20/Q4'20</v>
      </c>
      <c r="N84" s="502">
        <f>J19-J20</f>
        <v>2.6500000000000057</v>
      </c>
      <c r="O84" s="553"/>
      <c r="R84" s="67"/>
      <c r="S84" s="67"/>
      <c r="U84" s="514"/>
      <c r="V84" s="510"/>
      <c r="W84" s="514"/>
      <c r="X84" s="510"/>
      <c r="Y84" s="514"/>
      <c r="Z84" s="510"/>
      <c r="AA84" s="514"/>
      <c r="BL84" s="367"/>
      <c r="BM84" s="363" t="s">
        <v>242</v>
      </c>
      <c r="BN84" s="351"/>
      <c r="BO84" s="354"/>
      <c r="BP84" s="363" t="s">
        <v>248</v>
      </c>
      <c r="BQ84" s="350"/>
      <c r="BR84" s="353"/>
      <c r="BX84" s="400">
        <v>5</v>
      </c>
      <c r="BY84" s="400">
        <v>5</v>
      </c>
      <c r="BZ84" s="399"/>
      <c r="CA84" s="400">
        <v>5</v>
      </c>
      <c r="CB84" s="400">
        <v>5</v>
      </c>
      <c r="CC84" s="399"/>
      <c r="CD84" s="367"/>
    </row>
    <row r="85" spans="2:82" x14ac:dyDescent="0.25">
      <c r="F85" s="65"/>
      <c r="G85" s="65"/>
      <c r="H85" s="624"/>
      <c r="I85" s="625"/>
      <c r="J85" s="521"/>
      <c r="K85" s="189"/>
      <c r="M85" s="477" t="str">
        <f>CONCATENATE(CONCATENATE(LEFT($H$19,2),"'",RIGHT($H$19,2)),"/",INDEX($AZ$9:$AZ$21,MATCH(CONCATENATE(LEFT($H$19,2),"'",RIGHT($H$19,2)),$AX$9:$AX$21,0)))</f>
        <v>Q3'20/Q1'21</v>
      </c>
      <c r="N85" s="131">
        <f>J19-J21</f>
        <v>4.6000000000000085</v>
      </c>
      <c r="O85" s="553"/>
      <c r="R85" s="67"/>
      <c r="S85" s="67"/>
      <c r="U85" s="514"/>
      <c r="V85" s="510"/>
      <c r="W85" s="514"/>
      <c r="X85" s="510"/>
      <c r="Y85" s="514"/>
      <c r="Z85" s="510"/>
      <c r="AA85" s="514"/>
      <c r="BL85" s="367"/>
      <c r="BM85" s="363" t="s">
        <v>243</v>
      </c>
      <c r="BN85" s="351"/>
      <c r="BO85" s="354"/>
      <c r="BP85" s="363" t="s">
        <v>249</v>
      </c>
      <c r="BQ85" s="350"/>
      <c r="BR85" s="353"/>
      <c r="BX85" s="400">
        <v>5</v>
      </c>
      <c r="BY85" s="400">
        <v>5</v>
      </c>
      <c r="BZ85" s="399"/>
      <c r="CA85" s="400">
        <v>5</v>
      </c>
      <c r="CB85" s="400">
        <v>5</v>
      </c>
      <c r="CC85" s="399"/>
      <c r="CD85" s="367"/>
    </row>
    <row r="86" spans="2:82" x14ac:dyDescent="0.25">
      <c r="F86" s="65"/>
      <c r="G86" s="65"/>
      <c r="H86" s="624"/>
      <c r="I86" s="625"/>
      <c r="J86" s="521"/>
      <c r="K86" s="189"/>
      <c r="M86" s="477" t="str">
        <f>CONCATENATE(CONCATENATE(LEFT($H$19,2),"'",RIGHT($H$19,2)),"/",INDEX($BA$9:$BA$21,MATCH(CONCATENATE(LEFT($H$19,2),"'",RIGHT($H$19,2)),$AX$9:$AX$21,0)))</f>
        <v>Q3'20/Q2'21</v>
      </c>
      <c r="N86" s="131">
        <f>J19-J22</f>
        <v>6.2999999999999972</v>
      </c>
      <c r="O86" s="553"/>
      <c r="R86" s="67"/>
      <c r="S86" s="67"/>
      <c r="U86" s="514"/>
      <c r="V86" s="510"/>
      <c r="W86" s="514"/>
      <c r="X86" s="510"/>
      <c r="Y86" s="514"/>
      <c r="Z86" s="510"/>
      <c r="AA86" s="514"/>
      <c r="BL86" s="367"/>
      <c r="BM86" s="363" t="s">
        <v>157</v>
      </c>
      <c r="BN86" s="351">
        <f>N9-0.05</f>
        <v>1.45</v>
      </c>
      <c r="BO86" s="354">
        <f>N9+0.05</f>
        <v>1.55</v>
      </c>
      <c r="BP86" s="363" t="s">
        <v>250</v>
      </c>
      <c r="BQ86" s="350"/>
      <c r="BR86" s="353"/>
      <c r="BX86" s="400">
        <v>5</v>
      </c>
      <c r="BY86" s="400">
        <v>5</v>
      </c>
      <c r="BZ86" s="399"/>
      <c r="CA86" s="400">
        <v>5</v>
      </c>
      <c r="CB86" s="400">
        <v>5</v>
      </c>
      <c r="CC86" s="399"/>
      <c r="CD86" s="367"/>
    </row>
    <row r="87" spans="2:82" x14ac:dyDescent="0.25">
      <c r="F87" s="65"/>
      <c r="G87" s="65"/>
      <c r="H87" s="624"/>
      <c r="I87" s="625"/>
      <c r="J87" s="521"/>
      <c r="K87" s="189"/>
      <c r="M87" s="477" t="str">
        <f>CONCATENATE(CONCATENATE(LEFT($H$19,2),"'",RIGHT($H$19,2)),"/",INDEX($BB$9:$BB$21,MATCH(CONCATENATE(LEFT($H$19,2),"'",RIGHT($H$19,2)),$AX$9:$AX$21,0)))</f>
        <v>Q3'20/Q3'21</v>
      </c>
      <c r="N87" s="131">
        <f>J19-J23</f>
        <v>8.5499999999999972</v>
      </c>
      <c r="O87" s="553"/>
      <c r="R87" s="67"/>
      <c r="S87" s="67"/>
      <c r="U87" s="514"/>
      <c r="V87" s="510"/>
      <c r="W87" s="514"/>
      <c r="X87" s="510"/>
      <c r="Y87" s="514"/>
      <c r="Z87" s="510"/>
      <c r="AA87" s="514"/>
      <c r="BL87" s="367"/>
      <c r="BM87" s="363" t="s">
        <v>159</v>
      </c>
      <c r="BN87" s="351">
        <f>N18-0.05</f>
        <v>0.99999999999999711</v>
      </c>
      <c r="BO87" s="354">
        <f>N18+0.05</f>
        <v>1.0999999999999972</v>
      </c>
      <c r="BP87" s="363" t="s">
        <v>251</v>
      </c>
      <c r="BQ87" s="350"/>
      <c r="BR87" s="354"/>
      <c r="BX87" s="400">
        <v>5</v>
      </c>
      <c r="BY87" s="400">
        <v>5</v>
      </c>
      <c r="BZ87" s="399"/>
      <c r="CA87" s="400">
        <v>5</v>
      </c>
      <c r="CB87" s="400">
        <v>5</v>
      </c>
      <c r="CC87" s="399"/>
      <c r="CD87" s="367"/>
    </row>
    <row r="88" spans="2:82" ht="15.75" thickBot="1" x14ac:dyDescent="0.3">
      <c r="F88" s="65"/>
      <c r="G88" s="65"/>
      <c r="H88" s="624"/>
      <c r="I88" s="625"/>
      <c r="J88" s="521"/>
      <c r="K88" s="189"/>
      <c r="M88" s="477" t="str">
        <f>CONCATENATE(CONCATENATE(LEFT($H$19,2),"'",RIGHT($H$19,2)),"/",INDEX($BC$9:$BC$21,MATCH(CONCATENATE(LEFT($H$17,2),"'",RIGHT($H$17,2)),$AX$9:$AX$21,0)))</f>
        <v>Q3'20/1H'20</v>
      </c>
      <c r="N88" s="131">
        <f>J19-AVERAGE(J18:J19)</f>
        <v>-1.7250000000000085</v>
      </c>
      <c r="O88" s="553"/>
      <c r="R88" s="67"/>
      <c r="S88" s="67"/>
      <c r="U88" s="514"/>
      <c r="V88" s="510"/>
      <c r="W88" s="514"/>
      <c r="X88" s="510"/>
      <c r="Y88" s="514"/>
      <c r="Z88" s="510"/>
      <c r="AA88" s="514"/>
      <c r="BL88" s="367"/>
      <c r="BM88" s="363" t="s">
        <v>164</v>
      </c>
      <c r="BN88" s="351">
        <f>N27-0.05</f>
        <v>1.2</v>
      </c>
      <c r="BO88" s="354">
        <f>N27+0.05</f>
        <v>1.3</v>
      </c>
      <c r="BP88" s="363" t="s">
        <v>252</v>
      </c>
      <c r="BQ88" s="350"/>
      <c r="BR88" s="354"/>
      <c r="BX88" s="400">
        <v>5</v>
      </c>
      <c r="BY88" s="400">
        <v>5</v>
      </c>
      <c r="BZ88" s="399"/>
      <c r="CA88" s="400">
        <v>5</v>
      </c>
      <c r="CB88" s="400">
        <v>5</v>
      </c>
      <c r="CC88" s="399"/>
      <c r="CD88" s="367"/>
    </row>
    <row r="89" spans="2:82" ht="16.5" thickBot="1" x14ac:dyDescent="0.3">
      <c r="B89" s="61"/>
      <c r="C89" s="590" t="s">
        <v>3</v>
      </c>
      <c r="D89" s="591"/>
      <c r="E89" s="592"/>
      <c r="F89" s="593"/>
      <c r="G89" s="593"/>
      <c r="H89" s="594"/>
      <c r="I89" s="625"/>
      <c r="J89" s="521"/>
      <c r="K89" s="189"/>
      <c r="M89" s="479" t="str">
        <f>CONCATENATE(CONCATENATE(LEFT($H$19,2),"'",RIGHT($H$19,2)),"/",INDEX($BD$9:$BD$21,MATCH(CONCATENATE(LEFT($H$17,2),"'",RIGHT($H$17,2)),$AX$9:$AX$21,0)))</f>
        <v>Q3'20/Cal20</v>
      </c>
      <c r="N89" s="133">
        <f>J19-J24</f>
        <v>-1.8999999999999915</v>
      </c>
      <c r="O89" s="553"/>
      <c r="R89" s="67"/>
      <c r="S89" s="67"/>
      <c r="U89" s="514"/>
      <c r="V89" s="510"/>
      <c r="W89" s="514"/>
      <c r="X89" s="510"/>
      <c r="Y89" s="514"/>
      <c r="Z89" s="510"/>
      <c r="AA89" s="514"/>
      <c r="BL89" s="367"/>
      <c r="BM89" s="363" t="s">
        <v>166</v>
      </c>
      <c r="BN89" s="351">
        <f>N36-0.05</f>
        <v>1.0499999999999943</v>
      </c>
      <c r="BO89" s="354">
        <f>N36+0.05</f>
        <v>1.1499999999999944</v>
      </c>
      <c r="BP89" s="363"/>
      <c r="BQ89" s="350"/>
      <c r="BR89" s="354"/>
      <c r="BX89" s="400">
        <v>5</v>
      </c>
      <c r="BY89" s="399"/>
      <c r="BZ89" s="399"/>
      <c r="CA89" s="400">
        <v>5</v>
      </c>
      <c r="CB89" s="399"/>
      <c r="CC89" s="399"/>
      <c r="CD89" s="367"/>
    </row>
    <row r="90" spans="2:82" ht="17.25" thickTop="1" thickBot="1" x14ac:dyDescent="0.3">
      <c r="B90" s="595" t="str">
        <f>('predicted levels'!H8)</f>
        <v>62%</v>
      </c>
      <c r="C90" s="596" t="str">
        <f>('predicted levels'!J8)</f>
        <v>#N/A Connection</v>
      </c>
      <c r="D90" s="591"/>
      <c r="E90" s="597" t="s">
        <v>314</v>
      </c>
      <c r="F90" s="598"/>
      <c r="G90" s="598"/>
      <c r="H90" s="599"/>
      <c r="I90" s="625"/>
      <c r="J90" s="521"/>
      <c r="K90" s="189"/>
      <c r="M90" s="499" t="str">
        <f>CONCATENATE(CONCATENATE(LEFT($H$20,2),"'",RIGHT($H$20,2)),"/",INDEX($AY$9:$AY$21,MATCH(CONCATENATE(LEFT($H$20,2),"'",RIGHT($H$20,2)),$AX$9:$AX$21,0)))</f>
        <v>Q4'20/Q1'21</v>
      </c>
      <c r="N90" s="501">
        <f>J20-J21</f>
        <v>1.9500000000000028</v>
      </c>
      <c r="O90" s="553"/>
      <c r="R90" s="67"/>
      <c r="S90" s="67"/>
      <c r="U90" s="514"/>
      <c r="V90" s="510"/>
      <c r="W90" s="514"/>
      <c r="X90" s="510"/>
      <c r="Y90" s="514"/>
      <c r="Z90" s="510"/>
      <c r="AA90" s="514"/>
      <c r="BL90" s="367"/>
      <c r="BM90" s="363" t="s">
        <v>170</v>
      </c>
      <c r="BN90" s="351">
        <f>N45-0.05</f>
        <v>1.1500000000000028</v>
      </c>
      <c r="BO90" s="354">
        <f>N45+0.05</f>
        <v>1.2500000000000029</v>
      </c>
      <c r="BP90" s="363"/>
      <c r="BQ90" s="350"/>
      <c r="BR90" s="355"/>
      <c r="BX90" s="400">
        <v>5</v>
      </c>
      <c r="BY90" s="399"/>
      <c r="BZ90" s="399"/>
      <c r="CA90" s="400">
        <v>5</v>
      </c>
      <c r="CB90" s="399"/>
      <c r="CC90" s="399"/>
      <c r="CD90" s="367"/>
    </row>
    <row r="91" spans="2:82" x14ac:dyDescent="0.25">
      <c r="B91" s="579" t="str">
        <f>('predicted levels'!H9)</f>
        <v>Dec 19</v>
      </c>
      <c r="C91" s="600">
        <f>('predicted levels'!J9)</f>
        <v>92.599999999999937</v>
      </c>
      <c r="D91" s="591"/>
      <c r="E91" s="583" t="str">
        <f>('predicted levels'!M9)</f>
        <v>Dec/Jan</v>
      </c>
      <c r="F91" s="601"/>
      <c r="G91" s="601"/>
      <c r="H91" s="600">
        <f>('predicted levels'!N9)</f>
        <v>1.5</v>
      </c>
      <c r="I91" s="625"/>
      <c r="J91" s="521"/>
      <c r="K91" s="189"/>
      <c r="M91" s="477" t="str">
        <f>CONCATENATE(CONCATENATE(LEFT($H$20,2),"'",RIGHT($H$20,2)),"/",INDEX($AZ$9:$AZ$21,MATCH(CONCATENATE(LEFT($H$20,2),"'",RIGHT($H$20,2)),$AX$9:$AX$21,0)))</f>
        <v>Q4'20/Q2'21</v>
      </c>
      <c r="N91" s="131">
        <f>J20-J22</f>
        <v>3.6499999999999915</v>
      </c>
      <c r="O91" s="553"/>
      <c r="R91" s="67"/>
      <c r="S91" s="67"/>
      <c r="U91" s="514"/>
      <c r="V91" s="510"/>
      <c r="W91" s="514"/>
      <c r="X91" s="510"/>
      <c r="Y91" s="514"/>
      <c r="Z91" s="510"/>
      <c r="AA91" s="514"/>
      <c r="BL91" s="367"/>
      <c r="BM91" s="363" t="s">
        <v>238</v>
      </c>
      <c r="BN91" s="351">
        <f>N54-0.05</f>
        <v>0.74999999999999711</v>
      </c>
      <c r="BO91" s="354">
        <f>N54+0.05</f>
        <v>0.8499999999999972</v>
      </c>
      <c r="BP91" s="363"/>
      <c r="BQ91" s="350"/>
      <c r="BR91" s="355"/>
      <c r="BX91" s="400">
        <v>5</v>
      </c>
      <c r="BY91" s="399"/>
      <c r="BZ91" s="399"/>
      <c r="CA91" s="400">
        <v>5</v>
      </c>
      <c r="CB91" s="399"/>
      <c r="CC91" s="399"/>
      <c r="CD91" s="367"/>
    </row>
    <row r="92" spans="2:82" x14ac:dyDescent="0.25">
      <c r="B92" s="580" t="str">
        <f>('predicted levels'!H10)</f>
        <v>Jan 20</v>
      </c>
      <c r="C92" s="602">
        <f>('predicted levels'!J10)</f>
        <v>91.099999999999937</v>
      </c>
      <c r="D92" s="603"/>
      <c r="E92" s="584" t="str">
        <f>('predicted levels'!M10)</f>
        <v>Dec/Feb</v>
      </c>
      <c r="F92" s="604"/>
      <c r="G92" s="604"/>
      <c r="H92" s="602">
        <f>('predicted levels'!N10)</f>
        <v>2.5499999999999972</v>
      </c>
      <c r="I92" s="625"/>
      <c r="J92" s="521"/>
      <c r="K92" s="189"/>
      <c r="M92" s="477" t="str">
        <f>CONCATENATE(CONCATENATE(LEFT($H$20,2),"'",RIGHT($H$20,2)),"/",INDEX($BA$9:$BA$21,MATCH(CONCATENATE(LEFT($H$20,2),"'",RIGHT($H$20,2)),$AX$9:$AX$21,0)))</f>
        <v>Q4'20/Q3'21</v>
      </c>
      <c r="N92" s="131">
        <f>J20-J23</f>
        <v>5.8999999999999915</v>
      </c>
      <c r="O92" s="553"/>
      <c r="R92" s="67"/>
      <c r="S92" s="67"/>
      <c r="U92" s="514"/>
      <c r="V92" s="510"/>
      <c r="W92" s="514"/>
      <c r="X92" s="510"/>
      <c r="Y92" s="514"/>
      <c r="Z92" s="510"/>
      <c r="AA92" s="514"/>
      <c r="BL92" s="367"/>
      <c r="BM92" s="363" t="s">
        <v>178</v>
      </c>
      <c r="BN92" s="351">
        <f>N63-0.05</f>
        <v>1.2499999999999971</v>
      </c>
      <c r="BO92" s="354">
        <f>N63+0.05</f>
        <v>1.3499999999999972</v>
      </c>
      <c r="BP92" s="363"/>
      <c r="BQ92" s="350"/>
      <c r="BR92" s="355"/>
      <c r="BX92" s="400">
        <v>5</v>
      </c>
      <c r="BY92" s="399"/>
      <c r="BZ92" s="399"/>
      <c r="CA92" s="400">
        <v>5</v>
      </c>
      <c r="CB92" s="399"/>
      <c r="CC92" s="399"/>
      <c r="CD92" s="367"/>
    </row>
    <row r="93" spans="2:82" x14ac:dyDescent="0.25">
      <c r="B93" s="580" t="str">
        <f>('predicted levels'!H11)</f>
        <v>Feb 20</v>
      </c>
      <c r="C93" s="602">
        <f>('predicted levels'!J11)</f>
        <v>90.04999999999994</v>
      </c>
      <c r="D93" s="591"/>
      <c r="E93" s="584" t="str">
        <f>M12</f>
        <v>Dec/Q1'20</v>
      </c>
      <c r="F93" s="604"/>
      <c r="G93" s="604"/>
      <c r="H93" s="602">
        <f>N12</f>
        <v>2.5999999999999943</v>
      </c>
      <c r="I93" s="625"/>
      <c r="J93" s="521"/>
      <c r="K93" s="189"/>
      <c r="M93" s="477" t="str">
        <f>CONCATENATE(CONCATENATE(LEFT($H$20,2),"'",RIGHT($H$20,2)),"/",INDEX($BB$9:$BB$21,MATCH(CONCATENATE(LEFT($H$20,2),"'",RIGHT($H$20,2)),$AX$9:$AX$21,0)))</f>
        <v>Q4'20/Q4'21</v>
      </c>
      <c r="N93" s="131"/>
      <c r="O93" s="553"/>
      <c r="R93" s="67"/>
      <c r="S93" s="67"/>
      <c r="U93" s="514"/>
      <c r="V93" s="510"/>
      <c r="W93" s="514"/>
      <c r="X93" s="510"/>
      <c r="Y93" s="514"/>
      <c r="Z93" s="510"/>
      <c r="AA93" s="514"/>
      <c r="BL93" s="367"/>
      <c r="BM93" s="363" t="s">
        <v>239</v>
      </c>
      <c r="BN93" s="351"/>
      <c r="BO93" s="354"/>
      <c r="BP93" s="363"/>
      <c r="BQ93" s="350"/>
      <c r="BR93" s="355"/>
      <c r="BX93" s="400">
        <v>5</v>
      </c>
      <c r="BY93" s="399"/>
      <c r="BZ93" s="399"/>
      <c r="CA93" s="400">
        <v>5</v>
      </c>
      <c r="CB93" s="399"/>
      <c r="CC93" s="399"/>
      <c r="CD93" s="367"/>
    </row>
    <row r="94" spans="2:82" x14ac:dyDescent="0.25">
      <c r="B94" s="580" t="str">
        <f>('predicted levels'!H12)</f>
        <v>Mar 20</v>
      </c>
      <c r="C94" s="602">
        <f>('predicted levels'!J12)</f>
        <v>88.79999999999994</v>
      </c>
      <c r="D94" s="591"/>
      <c r="E94" s="584" t="str">
        <f>M13</f>
        <v>Dec/Q2'20</v>
      </c>
      <c r="F94" s="604"/>
      <c r="G94" s="604"/>
      <c r="H94" s="602">
        <f>N13</f>
        <v>5.9499999999999886</v>
      </c>
      <c r="I94" s="626"/>
      <c r="J94" s="74"/>
      <c r="K94" s="189"/>
      <c r="M94" s="477" t="str">
        <f>CONCATENATE(CONCATENATE(LEFT($H$20,2),"'",RIGHT($H$20,2)),"/",INDEX($BC$9:$BC$21,MATCH(CONCATENATE(LEFT($H$17,2),"'",RIGHT($H$17,2)),$AX$9:$AX$21,0)))</f>
        <v>Q4'20/1H'20</v>
      </c>
      <c r="N94" s="131">
        <f>J20-AVERAGE(J18:J19)</f>
        <v>-4.3750000000000142</v>
      </c>
      <c r="O94" s="553"/>
      <c r="R94" s="67"/>
      <c r="S94" s="67"/>
      <c r="U94" s="514"/>
      <c r="V94" s="510"/>
      <c r="W94" s="514"/>
      <c r="X94" s="510"/>
      <c r="Y94" s="514"/>
      <c r="Z94" s="510"/>
      <c r="AA94" s="514"/>
      <c r="BL94" s="367"/>
      <c r="BM94" s="363" t="s">
        <v>240</v>
      </c>
      <c r="BN94" s="351"/>
      <c r="BO94" s="354"/>
      <c r="BP94" s="363"/>
      <c r="BQ94" s="350"/>
      <c r="BR94" s="355"/>
      <c r="BX94" s="400">
        <v>5</v>
      </c>
      <c r="BY94" s="399"/>
      <c r="BZ94" s="399"/>
      <c r="CA94" s="400">
        <v>5</v>
      </c>
      <c r="CB94" s="399"/>
      <c r="CC94" s="399"/>
      <c r="CD94" s="367"/>
    </row>
    <row r="95" spans="2:82" ht="15.75" thickBot="1" x14ac:dyDescent="0.3">
      <c r="B95" s="580" t="str">
        <f>('predicted levels'!H13)</f>
        <v>Apr 20</v>
      </c>
      <c r="C95" s="602">
        <f>('predicted levels'!J13)</f>
        <v>87.699999999999946</v>
      </c>
      <c r="D95" s="591"/>
      <c r="E95" s="584" t="str">
        <f>('predicted levels'!M18)</f>
        <v>Jan/Feb</v>
      </c>
      <c r="F95" s="604"/>
      <c r="G95" s="604"/>
      <c r="H95" s="602">
        <f>('predicted levels'!N18)</f>
        <v>1.0499999999999972</v>
      </c>
      <c r="I95" s="626"/>
      <c r="J95" s="81"/>
      <c r="K95" s="81"/>
      <c r="L95" s="173"/>
      <c r="M95" s="479" t="str">
        <f>CONCATENATE(CONCATENATE(LEFT($H$20,2),"'",RIGHT($H$20,2)),"/",INDEX($BD$9:$BD$21,MATCH(CONCATENATE(LEFT($H$17,2),"'",RIGHT($H$17,2)),$AX$9:$AX$21,0)))</f>
        <v>Q4'20/Cal20</v>
      </c>
      <c r="N95" s="133">
        <f>J20-J24</f>
        <v>-4.5499999999999972</v>
      </c>
      <c r="O95" s="553"/>
      <c r="R95" s="67"/>
      <c r="S95" s="67"/>
      <c r="U95" s="514"/>
      <c r="V95" s="510"/>
      <c r="W95" s="514"/>
      <c r="X95" s="510"/>
      <c r="Y95" s="514"/>
      <c r="Z95" s="510"/>
      <c r="AA95" s="514"/>
      <c r="BL95" s="367"/>
      <c r="BM95" s="363" t="s">
        <v>241</v>
      </c>
      <c r="BN95" s="351"/>
      <c r="BO95" s="354"/>
      <c r="BP95" s="363"/>
      <c r="BQ95" s="350"/>
      <c r="BR95" s="355"/>
      <c r="BX95" s="400">
        <v>5</v>
      </c>
      <c r="BY95" s="399"/>
      <c r="BZ95" s="399"/>
      <c r="CA95" s="400">
        <v>5</v>
      </c>
      <c r="CB95" s="399"/>
      <c r="CC95" s="399"/>
      <c r="CD95" s="367"/>
    </row>
    <row r="96" spans="2:82" ht="15.75" thickTop="1" x14ac:dyDescent="0.25">
      <c r="B96" s="580" t="str">
        <f>('predicted levels'!H14)</f>
        <v>May 20</v>
      </c>
      <c r="C96" s="602">
        <f>('predicted levels'!J14)</f>
        <v>86.499999999999943</v>
      </c>
      <c r="D96" s="591"/>
      <c r="E96" s="584" t="str">
        <f>('predicted levels'!M19)</f>
        <v>Jan/Mar</v>
      </c>
      <c r="F96" s="604"/>
      <c r="G96" s="604"/>
      <c r="H96" s="602">
        <f>('predicted levels'!N19)</f>
        <v>2.2999999999999972</v>
      </c>
      <c r="I96" s="626"/>
      <c r="J96" s="81"/>
      <c r="K96" s="81"/>
      <c r="L96" s="173"/>
      <c r="M96" s="499" t="str">
        <f>CONCATENATE(CONCATENATE(LEFT($H$22,2),"'",RIGHT($H$22,2)),"/",CONCATENATE(LEFT($H$23,2),"'",RIGHT($H$23,2)))</f>
        <v>Q2'21/Q3'21</v>
      </c>
      <c r="N96" s="501">
        <f>J21-J22</f>
        <v>1.6999999999999886</v>
      </c>
      <c r="O96" s="553"/>
      <c r="R96" s="67"/>
      <c r="S96" s="67"/>
      <c r="U96" s="514"/>
      <c r="V96" s="510"/>
      <c r="W96" s="514"/>
      <c r="X96" s="510"/>
      <c r="Y96" s="514"/>
      <c r="Z96" s="510"/>
      <c r="AA96" s="514"/>
      <c r="BL96" s="367"/>
      <c r="BM96" s="363" t="s">
        <v>242</v>
      </c>
      <c r="BN96" s="351"/>
      <c r="BO96" s="354"/>
      <c r="BP96" s="363"/>
      <c r="BQ96" s="350"/>
      <c r="BR96" s="355"/>
      <c r="BX96" s="400">
        <v>5</v>
      </c>
      <c r="BY96" s="399"/>
      <c r="BZ96" s="399"/>
      <c r="CA96" s="400">
        <v>5</v>
      </c>
      <c r="CB96" s="399"/>
      <c r="CC96" s="399"/>
      <c r="CD96" s="367"/>
    </row>
    <row r="97" spans="2:82" x14ac:dyDescent="0.25">
      <c r="B97" s="580" t="str">
        <f>('predicted levels'!H15)</f>
        <v>Jun 20</v>
      </c>
      <c r="C97" s="602">
        <f>('predicted levels'!J15)</f>
        <v>85.699999999999946</v>
      </c>
      <c r="D97" s="591"/>
      <c r="E97" s="584" t="str">
        <f>M21</f>
        <v>Jan/Q1'20</v>
      </c>
      <c r="F97" s="604"/>
      <c r="G97" s="604"/>
      <c r="H97" s="602">
        <f>N21</f>
        <v>1.0999999999999943</v>
      </c>
      <c r="I97" s="626"/>
      <c r="J97" s="81"/>
      <c r="K97" s="81"/>
      <c r="L97" s="173"/>
      <c r="M97" s="477" t="str">
        <f>CONCATENATE(CONCATENATE(LEFT($H$21,2),"'",RIGHT($H$21,2)),"/",INDEX($AZ$9:$AZ$21,MATCH(CONCATENATE(LEFT($H$21,2),"'",RIGHT($H$21,2)),$AX$9:$AX$21,0)))</f>
        <v>Q1'21/Q3'21</v>
      </c>
      <c r="N97" s="131">
        <f>J21-J23</f>
        <v>3.9499999999999886</v>
      </c>
      <c r="O97" s="553"/>
      <c r="R97" s="67"/>
      <c r="S97" s="67"/>
      <c r="U97" s="514"/>
      <c r="V97" s="510"/>
      <c r="W97" s="514"/>
      <c r="X97" s="510"/>
      <c r="Y97" s="514"/>
      <c r="Z97" s="510"/>
      <c r="AA97" s="514"/>
      <c r="BL97" s="367"/>
      <c r="BM97" s="363" t="s">
        <v>243</v>
      </c>
      <c r="BN97" s="351"/>
      <c r="BO97" s="354"/>
      <c r="BP97" s="363"/>
      <c r="BQ97" s="350"/>
      <c r="BR97" s="355"/>
      <c r="BX97" s="400">
        <v>5</v>
      </c>
      <c r="BY97" s="399"/>
      <c r="BZ97" s="399"/>
      <c r="CA97" s="400">
        <v>5</v>
      </c>
      <c r="CB97" s="399"/>
      <c r="CC97" s="399"/>
      <c r="CD97" s="367"/>
    </row>
    <row r="98" spans="2:82" ht="15.75" thickBot="1" x14ac:dyDescent="0.3">
      <c r="B98" s="581" t="str">
        <f>('predicted levels'!H16)</f>
        <v>Jul 20</v>
      </c>
      <c r="C98" s="605">
        <f>('predicted levels'!J16)</f>
        <v>84.399999999999949</v>
      </c>
      <c r="D98" s="591"/>
      <c r="E98" s="584" t="str">
        <f>M22</f>
        <v>Jan/Q2'20</v>
      </c>
      <c r="F98" s="604"/>
      <c r="G98" s="604"/>
      <c r="H98" s="602">
        <f>N22</f>
        <v>4.4499999999999886</v>
      </c>
      <c r="I98" s="626"/>
      <c r="J98" s="81"/>
      <c r="K98" s="81"/>
      <c r="L98" s="173"/>
      <c r="M98" s="477" t="str">
        <f>CONCATENATE(CONCATENATE(LEFT($H$21,2),"'",RIGHT($H$21,2)),"/",INDEX($BA$9:$BA$21,MATCH(CONCATENATE(LEFT($H$21,2),"'",RIGHT($H$21,2)),$AX$9:$AX$21,0)))</f>
        <v>Q1'21/Q4'21</v>
      </c>
      <c r="N98" s="131"/>
      <c r="O98" s="553"/>
      <c r="R98" s="67"/>
      <c r="S98" s="67"/>
      <c r="U98" s="514"/>
      <c r="V98" s="510"/>
      <c r="W98" s="514"/>
      <c r="X98" s="510"/>
      <c r="Y98" s="514"/>
      <c r="Z98" s="510"/>
      <c r="AA98" s="514"/>
      <c r="BL98" s="367"/>
      <c r="BM98" s="363" t="s">
        <v>157</v>
      </c>
      <c r="BN98" s="351"/>
      <c r="BO98" s="354"/>
      <c r="BP98" s="363"/>
      <c r="BQ98" s="350"/>
      <c r="BR98" s="355"/>
      <c r="BX98" s="400">
        <v>5</v>
      </c>
      <c r="BY98" s="399"/>
      <c r="BZ98" s="399"/>
      <c r="CA98" s="400">
        <v>5</v>
      </c>
      <c r="CB98" s="399"/>
      <c r="CC98" s="399"/>
      <c r="CD98" s="367"/>
    </row>
    <row r="99" spans="2:82" x14ac:dyDescent="0.25">
      <c r="B99" s="579" t="str">
        <f>('predicted levels'!H17)</f>
        <v>Q1 20</v>
      </c>
      <c r="C99" s="600">
        <f>('predicted levels'!J17)</f>
        <v>89.999999999999943</v>
      </c>
      <c r="D99" s="591"/>
      <c r="E99" s="584" t="str">
        <f>('predicted levels'!M27)</f>
        <v>Feb/Mar</v>
      </c>
      <c r="F99" s="604"/>
      <c r="G99" s="604"/>
      <c r="H99" s="602">
        <f>('predicted levels'!N27)</f>
        <v>1.25</v>
      </c>
      <c r="I99" s="626"/>
      <c r="J99" s="81"/>
      <c r="K99" s="81"/>
      <c r="L99" s="173"/>
      <c r="M99" s="477" t="str">
        <f>CONCATENATE(CONCATENATE(LEFT($H$21,2),"'",RIGHT($H$21,2)),"/",INDEX($BB$9:$BB$21,MATCH(CONCATENATE(LEFT($H$21,2),"'",RIGHT($H$21,2)),$AX$9:$AX$21,0)))</f>
        <v>Q1'21/Q1'22</v>
      </c>
      <c r="N99" s="131"/>
      <c r="O99" s="553"/>
      <c r="R99" s="67"/>
      <c r="S99" s="67"/>
      <c r="U99" s="514"/>
      <c r="V99" s="510"/>
      <c r="W99" s="514"/>
      <c r="X99" s="510"/>
      <c r="Y99" s="514"/>
      <c r="Z99" s="510"/>
      <c r="AA99" s="514"/>
      <c r="BL99" s="367"/>
      <c r="BM99" s="363" t="s">
        <v>159</v>
      </c>
      <c r="BN99" s="351"/>
      <c r="BO99" s="354"/>
      <c r="BP99" s="363"/>
      <c r="BQ99" s="350"/>
      <c r="BR99" s="355"/>
      <c r="BX99" s="400">
        <v>5</v>
      </c>
      <c r="BY99" s="399"/>
      <c r="BZ99" s="399"/>
      <c r="CA99" s="400">
        <v>5</v>
      </c>
      <c r="CB99" s="399"/>
      <c r="CC99" s="399"/>
      <c r="CD99" s="367"/>
    </row>
    <row r="100" spans="2:82" x14ac:dyDescent="0.25">
      <c r="B100" s="580" t="str">
        <f>('predicted levels'!H18)</f>
        <v>Q2 20</v>
      </c>
      <c r="C100" s="602">
        <f>('predicted levels'!J18)</f>
        <v>86.649999999999949</v>
      </c>
      <c r="D100" s="591"/>
      <c r="E100" s="584" t="str">
        <f>('predicted levels'!M28)</f>
        <v>Feb/Apr</v>
      </c>
      <c r="F100" s="604"/>
      <c r="G100" s="604"/>
      <c r="H100" s="602">
        <f>('predicted levels'!N28)</f>
        <v>2.3499999999999943</v>
      </c>
      <c r="I100" s="626"/>
      <c r="J100" s="81"/>
      <c r="K100" s="81"/>
      <c r="L100" s="173"/>
      <c r="M100" s="477" t="str">
        <f>CONCATENATE(CONCATENATE(LEFT($H$21,2),"'",RIGHT($H$21,2)),"/",INDEX($BC$9:$BC$21,MATCH(CONCATENATE(LEFT($H$17,2),"'",RIGHT($H$17,2)),$AX$9:$AX$21,0)))</f>
        <v>Q1'21/1H'20</v>
      </c>
      <c r="N100" s="131">
        <f>J21-AVERAGE(J18:J19)</f>
        <v>-6.3250000000000171</v>
      </c>
      <c r="O100" s="553"/>
      <c r="R100" s="67"/>
      <c r="S100" s="67"/>
      <c r="U100" s="514"/>
      <c r="V100" s="510"/>
      <c r="W100" s="514"/>
      <c r="X100" s="510"/>
      <c r="Y100" s="514"/>
      <c r="Z100" s="510"/>
      <c r="AA100" s="514"/>
      <c r="BL100" s="367"/>
      <c r="BM100" s="363" t="s">
        <v>164</v>
      </c>
      <c r="BN100" s="351"/>
      <c r="BO100" s="354"/>
      <c r="BP100" s="363"/>
      <c r="BQ100" s="350"/>
      <c r="BR100" s="355"/>
      <c r="BX100" s="400">
        <v>5</v>
      </c>
      <c r="BY100" s="399"/>
      <c r="BZ100" s="399"/>
      <c r="CA100" s="400">
        <v>5</v>
      </c>
      <c r="CB100" s="399"/>
      <c r="CC100" s="399"/>
      <c r="CD100" s="367"/>
    </row>
    <row r="101" spans="2:82" ht="15.75" thickBot="1" x14ac:dyDescent="0.3">
      <c r="B101" s="580" t="str">
        <f>('predicted levels'!H19)</f>
        <v>Q3 20</v>
      </c>
      <c r="C101" s="602">
        <f>('predicted levels'!J19)</f>
        <v>83.199999999999946</v>
      </c>
      <c r="D101" s="591"/>
      <c r="E101" s="584" t="str">
        <f>M30</f>
        <v>Feb/Q1'20</v>
      </c>
      <c r="F101" s="604"/>
      <c r="G101" s="604"/>
      <c r="H101" s="602">
        <f>N30</f>
        <v>4.9999999999997158E-2</v>
      </c>
      <c r="I101" s="626"/>
      <c r="J101" s="74"/>
      <c r="K101" s="189"/>
      <c r="M101" s="479" t="str">
        <f>CONCATENATE(CONCATENATE(LEFT($H$21,2),"'",RIGHT($H$21,2)),"/",INDEX($BD$9:$BD$21,MATCH(CONCATENATE(LEFT($H$17,2),"'",RIGHT($H$17,2)),$AX$9:$AX$21,0)))</f>
        <v>Q1'21/Cal20</v>
      </c>
      <c r="N101" s="133">
        <f>J21-J24</f>
        <v>-6.5</v>
      </c>
      <c r="R101" s="67"/>
      <c r="S101" s="67"/>
      <c r="U101" s="514"/>
      <c r="V101" s="510"/>
      <c r="W101" s="514"/>
      <c r="X101" s="510"/>
      <c r="Y101" s="514"/>
      <c r="Z101" s="510"/>
      <c r="AA101" s="514"/>
      <c r="BL101" s="367"/>
      <c r="BM101" s="363" t="s">
        <v>166</v>
      </c>
      <c r="BN101" s="351"/>
      <c r="BO101" s="354"/>
      <c r="BP101" s="363"/>
      <c r="BQ101" s="350"/>
      <c r="BR101" s="355"/>
      <c r="BX101" s="400">
        <v>5</v>
      </c>
      <c r="BY101" s="399"/>
      <c r="BZ101" s="399"/>
      <c r="CA101" s="400">
        <v>5</v>
      </c>
      <c r="CB101" s="399"/>
      <c r="CC101" s="399"/>
      <c r="CD101" s="367"/>
    </row>
    <row r="102" spans="2:82" ht="16.5" thickTop="1" thickBot="1" x14ac:dyDescent="0.3">
      <c r="B102" s="580" t="str">
        <f>('predicted levels'!H20)</f>
        <v>Q4 20</v>
      </c>
      <c r="C102" s="602">
        <f>('predicted levels'!J20)</f>
        <v>80.54999999999994</v>
      </c>
      <c r="D102" s="591"/>
      <c r="E102" s="584" t="str">
        <f>M31</f>
        <v>Feb/Q2'20</v>
      </c>
      <c r="F102" s="604"/>
      <c r="G102" s="604"/>
      <c r="H102" s="602">
        <f>N31</f>
        <v>3.3999999999999915</v>
      </c>
      <c r="I102" s="626"/>
      <c r="J102" s="74"/>
      <c r="K102" s="189"/>
      <c r="M102" s="500" t="str">
        <f>CONCATENATE(CONCATENATE(LEFT($H$22,2),"'",RIGHT($H$22,2)),"/",CONCATENATE(LEFT($H$23,2),"'",RIGHT($H$23,2)))</f>
        <v>Q2'21/Q3'21</v>
      </c>
      <c r="N102" s="338">
        <f>J22-J23</f>
        <v>2.25</v>
      </c>
      <c r="O102" s="553"/>
      <c r="R102" s="67"/>
      <c r="S102" s="67"/>
      <c r="U102" s="514"/>
      <c r="V102" s="510"/>
      <c r="W102" s="514"/>
      <c r="X102" s="510"/>
      <c r="Y102" s="514"/>
      <c r="Z102" s="510"/>
      <c r="AA102" s="514"/>
      <c r="BL102" s="367"/>
      <c r="BM102" s="363" t="s">
        <v>170</v>
      </c>
      <c r="BN102" s="351"/>
      <c r="BO102" s="354"/>
      <c r="BP102" s="363"/>
      <c r="BQ102" s="350"/>
      <c r="BR102" s="355"/>
      <c r="BX102" s="400">
        <v>5</v>
      </c>
      <c r="BY102" s="399"/>
      <c r="BZ102" s="399"/>
      <c r="CA102" s="400">
        <v>5</v>
      </c>
      <c r="CB102" s="399"/>
      <c r="CC102" s="399"/>
      <c r="CD102" s="367"/>
    </row>
    <row r="103" spans="2:82" ht="15.75" thickTop="1" x14ac:dyDescent="0.25">
      <c r="B103" s="580" t="str">
        <f>('predicted levels'!H21)</f>
        <v>Q1 21</v>
      </c>
      <c r="C103" s="602">
        <f>('predicted levels'!J21)</f>
        <v>78.599999999999937</v>
      </c>
      <c r="D103" s="591"/>
      <c r="E103" s="584" t="str">
        <f>('predicted levels'!M36)</f>
        <v>Mar/Apr</v>
      </c>
      <c r="F103" s="604"/>
      <c r="G103" s="604"/>
      <c r="H103" s="602">
        <f>N36</f>
        <v>1.0999999999999943</v>
      </c>
      <c r="I103" s="626"/>
      <c r="J103" s="74"/>
      <c r="K103" s="189"/>
      <c r="M103" s="503" t="s">
        <v>313</v>
      </c>
      <c r="N103" s="504">
        <f>SUM(J22-J25)</f>
        <v>0.60000000000000853</v>
      </c>
      <c r="O103" s="553"/>
      <c r="R103" s="67"/>
      <c r="S103" s="67"/>
      <c r="U103" s="514"/>
      <c r="V103" s="510"/>
      <c r="W103" s="514"/>
      <c r="X103" s="510"/>
      <c r="Y103" s="514"/>
      <c r="Z103" s="510"/>
      <c r="AA103" s="514"/>
      <c r="BL103" s="367"/>
      <c r="BM103" s="363" t="s">
        <v>238</v>
      </c>
      <c r="BN103" s="351"/>
      <c r="BO103" s="354"/>
      <c r="BX103" s="400">
        <v>5</v>
      </c>
      <c r="BY103" s="399"/>
      <c r="BZ103" s="399"/>
      <c r="CA103" s="400">
        <v>5</v>
      </c>
      <c r="CB103" s="399"/>
      <c r="CC103" s="399"/>
      <c r="CD103" s="367"/>
    </row>
    <row r="104" spans="2:82" x14ac:dyDescent="0.25">
      <c r="B104" s="580" t="str">
        <f>('predicted levels'!H22)</f>
        <v>Q2 21</v>
      </c>
      <c r="C104" s="602">
        <f>('predicted levels'!J22)</f>
        <v>76.899999999999949</v>
      </c>
      <c r="D104" s="591"/>
      <c r="E104" s="584" t="str">
        <f>('predicted levels'!M37)</f>
        <v>Mar/May</v>
      </c>
      <c r="F104" s="604"/>
      <c r="G104" s="604"/>
      <c r="H104" s="602">
        <f>N37</f>
        <v>2.2999999999999972</v>
      </c>
      <c r="I104" s="626"/>
      <c r="J104" s="74"/>
      <c r="K104" s="189"/>
      <c r="M104" s="503" t="s">
        <v>173</v>
      </c>
      <c r="N104" s="504">
        <f>AVERAGE(J17:J18)-J24</f>
        <v>3.2250000000000085</v>
      </c>
      <c r="O104" s="553"/>
      <c r="R104" s="67"/>
      <c r="S104" s="67"/>
      <c r="U104" s="514"/>
      <c r="V104" s="510"/>
      <c r="W104" s="514"/>
      <c r="X104" s="510"/>
      <c r="Y104" s="514"/>
      <c r="Z104" s="510"/>
      <c r="AA104" s="514"/>
      <c r="BL104" s="367"/>
      <c r="BM104" s="363" t="s">
        <v>178</v>
      </c>
      <c r="BN104" s="351"/>
      <c r="BO104" s="354"/>
      <c r="BX104" s="400">
        <v>5</v>
      </c>
      <c r="BY104" s="399"/>
      <c r="BZ104" s="399"/>
      <c r="CA104" s="400">
        <v>5</v>
      </c>
      <c r="CB104" s="399"/>
      <c r="CC104" s="399"/>
      <c r="CD104" s="367"/>
    </row>
    <row r="105" spans="2:82" ht="15.75" thickBot="1" x14ac:dyDescent="0.3">
      <c r="B105" s="581" t="str">
        <f>('predicted levels'!H23)</f>
        <v>Q3 21</v>
      </c>
      <c r="C105" s="605">
        <f>('predicted levels'!J23)</f>
        <v>74.649999999999949</v>
      </c>
      <c r="D105" s="591"/>
      <c r="E105" s="584" t="str">
        <f>M39</f>
        <v>Mar/Q1'20</v>
      </c>
      <c r="F105" s="604"/>
      <c r="G105" s="604"/>
      <c r="H105" s="602">
        <f>N39</f>
        <v>-1.2000000000000028</v>
      </c>
      <c r="I105" s="626"/>
      <c r="J105" s="74"/>
      <c r="K105" s="189"/>
      <c r="M105" s="503" t="s">
        <v>174</v>
      </c>
      <c r="N105" s="504">
        <f>AVERAGE(J17:J18)-J25</f>
        <v>12.025000000000006</v>
      </c>
      <c r="O105" s="553"/>
      <c r="R105" s="67"/>
      <c r="S105" s="67"/>
      <c r="U105" s="514"/>
      <c r="V105" s="510"/>
      <c r="W105" s="514"/>
      <c r="X105" s="510"/>
      <c r="Y105" s="514"/>
      <c r="Z105" s="510"/>
      <c r="AA105" s="514"/>
      <c r="BL105" s="367"/>
      <c r="BM105" s="363" t="s">
        <v>239</v>
      </c>
      <c r="BN105" s="351"/>
      <c r="BO105" s="354"/>
      <c r="BX105" s="400">
        <v>5</v>
      </c>
      <c r="BY105" s="399"/>
      <c r="BZ105" s="399"/>
      <c r="CA105" s="400">
        <v>5</v>
      </c>
      <c r="CB105" s="399"/>
      <c r="CC105" s="399"/>
      <c r="CD105" s="367"/>
    </row>
    <row r="106" spans="2:82" x14ac:dyDescent="0.25">
      <c r="B106" s="582" t="str">
        <f>('predicted levels'!H24)</f>
        <v>Cal20</v>
      </c>
      <c r="C106" s="606">
        <f>('predicted levels'!J24)</f>
        <v>85.099999999999937</v>
      </c>
      <c r="D106" s="591"/>
      <c r="E106" s="584" t="str">
        <f>M40</f>
        <v>Mar/Q2'20</v>
      </c>
      <c r="F106" s="604"/>
      <c r="G106" s="604"/>
      <c r="H106" s="602">
        <f>N40</f>
        <v>2.1499999999999915</v>
      </c>
      <c r="I106" s="626"/>
      <c r="J106" s="74"/>
      <c r="K106" s="189"/>
      <c r="M106" s="503" t="s">
        <v>175</v>
      </c>
      <c r="N106" s="504">
        <f>AVERAGE(J19:J20)-J24</f>
        <v>-3.2249999999999943</v>
      </c>
      <c r="O106" s="553"/>
      <c r="R106" s="67"/>
      <c r="S106" s="67"/>
      <c r="U106" s="514"/>
      <c r="V106" s="510"/>
      <c r="W106" s="514"/>
      <c r="X106" s="510"/>
      <c r="Y106" s="514"/>
      <c r="Z106" s="510"/>
      <c r="AA106" s="514"/>
      <c r="BL106" s="367"/>
      <c r="BM106" s="363" t="s">
        <v>240</v>
      </c>
      <c r="BN106" s="351"/>
      <c r="BO106" s="354"/>
      <c r="BX106" s="400">
        <v>5</v>
      </c>
      <c r="BY106" s="399"/>
      <c r="BZ106" s="399"/>
      <c r="CA106" s="400">
        <v>5</v>
      </c>
      <c r="CB106" s="399"/>
      <c r="CC106" s="399"/>
      <c r="CD106" s="367"/>
    </row>
    <row r="107" spans="2:82" ht="15.75" thickBot="1" x14ac:dyDescent="0.3">
      <c r="B107" s="580" t="str">
        <f>('predicted levels'!H25)</f>
        <v>Cal21</v>
      </c>
      <c r="C107" s="602">
        <f>('predicted levels'!J25)</f>
        <v>76.29999999999994</v>
      </c>
      <c r="D107" s="591"/>
      <c r="E107" s="585" t="str">
        <f>('predicted levels'!M109)</f>
        <v>Cal20/21</v>
      </c>
      <c r="F107" s="607"/>
      <c r="G107" s="607"/>
      <c r="H107" s="605">
        <f>('predicted levels'!N109)</f>
        <v>8.7999999999999972</v>
      </c>
      <c r="I107" s="626"/>
      <c r="J107" s="74"/>
      <c r="K107" s="189"/>
      <c r="M107" s="503" t="s">
        <v>180</v>
      </c>
      <c r="N107" s="504">
        <f>AVERAGE(J19:J20)-J25</f>
        <v>5.5750000000000028</v>
      </c>
      <c r="O107" s="553"/>
      <c r="R107" s="67"/>
      <c r="S107" s="67"/>
      <c r="U107" s="514"/>
      <c r="V107" s="510"/>
      <c r="W107" s="514"/>
      <c r="X107" s="510"/>
      <c r="Y107" s="514"/>
      <c r="Z107" s="510"/>
      <c r="AA107" s="514"/>
      <c r="BL107" s="367"/>
      <c r="BM107" s="363" t="s">
        <v>241</v>
      </c>
      <c r="BN107" s="351"/>
      <c r="BO107" s="354"/>
      <c r="BX107" s="400">
        <v>5</v>
      </c>
      <c r="BY107" s="399"/>
      <c r="BZ107" s="399"/>
      <c r="CA107" s="400">
        <v>5</v>
      </c>
      <c r="CB107" s="399"/>
      <c r="CC107" s="399"/>
      <c r="CD107" s="367"/>
    </row>
    <row r="108" spans="2:82" ht="15.75" thickBot="1" x14ac:dyDescent="0.3">
      <c r="B108" s="581" t="str">
        <f>('predicted levels'!H26)</f>
        <v>Cal22</v>
      </c>
      <c r="C108" s="605">
        <f>('predicted levels'!J26)</f>
        <v>71.249999999999943</v>
      </c>
      <c r="D108" s="591"/>
      <c r="E108" s="608"/>
      <c r="F108" s="591"/>
      <c r="G108" s="591"/>
      <c r="H108" s="609"/>
      <c r="I108" s="626"/>
      <c r="J108" s="74"/>
      <c r="K108" s="189"/>
      <c r="M108" s="503" t="s">
        <v>181</v>
      </c>
      <c r="N108" s="505">
        <f>AVERAGE(J17:J19)-J25</f>
        <v>10.316666666666677</v>
      </c>
      <c r="O108" s="554"/>
      <c r="R108" s="67"/>
      <c r="S108" s="67"/>
      <c r="U108" s="514"/>
      <c r="V108" s="510"/>
      <c r="W108" s="514"/>
      <c r="X108" s="510"/>
      <c r="Y108" s="514"/>
      <c r="Z108" s="510"/>
      <c r="AA108" s="514"/>
      <c r="BL108" s="367"/>
      <c r="BM108" s="363" t="s">
        <v>242</v>
      </c>
      <c r="BN108" s="351"/>
      <c r="BO108" s="354"/>
      <c r="BX108" s="400">
        <v>5</v>
      </c>
      <c r="BY108" s="399"/>
      <c r="BZ108" s="399"/>
      <c r="CA108" s="400">
        <v>5</v>
      </c>
      <c r="CB108" s="399"/>
      <c r="CC108" s="399"/>
      <c r="CD108" s="367"/>
    </row>
    <row r="109" spans="2:82" ht="15.75" thickBot="1" x14ac:dyDescent="0.3">
      <c r="B109" s="610"/>
      <c r="C109" s="611"/>
      <c r="D109" s="591"/>
      <c r="E109" s="629"/>
      <c r="F109" s="630"/>
      <c r="G109" s="630"/>
      <c r="H109" s="631"/>
      <c r="I109" s="626"/>
      <c r="J109" s="74"/>
      <c r="K109" s="189"/>
      <c r="M109" s="506" t="s">
        <v>147</v>
      </c>
      <c r="N109" s="504">
        <f>J24-J25</f>
        <v>8.7999999999999972</v>
      </c>
      <c r="O109" s="553"/>
      <c r="R109" s="67"/>
      <c r="S109" s="67"/>
      <c r="U109" s="514"/>
      <c r="V109" s="510"/>
      <c r="W109" s="514"/>
      <c r="X109" s="510"/>
      <c r="Y109" s="514"/>
      <c r="Z109" s="510"/>
      <c r="AA109" s="514"/>
      <c r="BL109" s="367"/>
      <c r="BM109" s="376" t="s">
        <v>243</v>
      </c>
      <c r="BN109" s="469"/>
      <c r="BO109" s="470"/>
      <c r="BX109" s="401">
        <v>5</v>
      </c>
      <c r="BY109" s="399"/>
      <c r="BZ109" s="399"/>
      <c r="CA109" s="401">
        <v>5</v>
      </c>
      <c r="CB109" s="399"/>
      <c r="CC109" s="399"/>
      <c r="CD109" s="367"/>
    </row>
    <row r="110" spans="2:82" ht="16.5" thickBot="1" x14ac:dyDescent="0.3">
      <c r="B110" s="627">
        <v>0.65</v>
      </c>
      <c r="C110" s="628"/>
      <c r="D110" s="591"/>
      <c r="E110" s="597" t="s">
        <v>319</v>
      </c>
      <c r="F110" s="598"/>
      <c r="G110" s="598"/>
      <c r="H110" s="612"/>
      <c r="I110" s="626"/>
      <c r="J110" s="74"/>
      <c r="K110" s="189"/>
      <c r="M110" s="507" t="s">
        <v>253</v>
      </c>
      <c r="N110" s="508">
        <f>J25-J26</f>
        <v>5.0499999999999972</v>
      </c>
      <c r="O110" s="553"/>
      <c r="R110" s="67"/>
      <c r="S110" s="67"/>
      <c r="U110" s="514"/>
      <c r="V110" s="510"/>
      <c r="W110" s="514"/>
      <c r="X110" s="510"/>
      <c r="Y110" s="514"/>
      <c r="Z110" s="510"/>
      <c r="AA110" s="514"/>
      <c r="BL110" s="367"/>
      <c r="BM110" s="377"/>
      <c r="BN110" s="377"/>
      <c r="BO110" s="377"/>
      <c r="BP110" s="377"/>
      <c r="BQ110" s="377"/>
      <c r="BR110" s="377"/>
      <c r="BS110" s="377"/>
      <c r="BT110" s="377"/>
      <c r="BU110" s="377"/>
      <c r="BV110" s="377"/>
      <c r="BW110" s="377"/>
      <c r="BX110" s="377"/>
      <c r="BY110" s="377"/>
      <c r="BZ110" s="377"/>
      <c r="CA110" s="377"/>
      <c r="CB110" s="377"/>
      <c r="CC110" s="377"/>
      <c r="CD110" s="367"/>
    </row>
    <row r="111" spans="2:82" ht="15.75" thickBot="1" x14ac:dyDescent="0.3">
      <c r="B111" s="583" t="str">
        <f t="shared" ref="B111:B117" si="17">U9</f>
        <v>Dec 19</v>
      </c>
      <c r="C111" s="613">
        <f t="shared" ref="C111:C117" si="18">W9</f>
        <v>103.49999999999994</v>
      </c>
      <c r="D111" s="591"/>
      <c r="E111" s="583" t="str">
        <f>'predicted levels'!R18</f>
        <v>Dec/Jan</v>
      </c>
      <c r="F111" s="601"/>
      <c r="G111" s="601"/>
      <c r="H111" s="613">
        <f>'predicted levels'!S18</f>
        <v>0.95000000000000284</v>
      </c>
      <c r="I111" s="626"/>
      <c r="J111" s="74"/>
      <c r="K111" s="189"/>
      <c r="M111" s="507" t="s">
        <v>148</v>
      </c>
      <c r="N111" s="508">
        <f>J24-J26</f>
        <v>13.849999999999994</v>
      </c>
      <c r="O111" s="553"/>
      <c r="R111" s="67"/>
      <c r="S111" s="67"/>
      <c r="U111" s="514"/>
      <c r="V111" s="510"/>
      <c r="W111" s="514"/>
      <c r="X111" s="510"/>
      <c r="Y111" s="514"/>
      <c r="Z111" s="510"/>
      <c r="AA111" s="514"/>
    </row>
    <row r="112" spans="2:82" x14ac:dyDescent="0.25">
      <c r="B112" s="584" t="str">
        <f t="shared" si="17"/>
        <v>Jan 20</v>
      </c>
      <c r="C112" s="614">
        <f t="shared" si="18"/>
        <v>102.54999999999994</v>
      </c>
      <c r="D112" s="615"/>
      <c r="E112" s="584" t="str">
        <f>'predicted levels'!R23</f>
        <v>Jan/Feb</v>
      </c>
      <c r="F112" s="604"/>
      <c r="G112" s="604"/>
      <c r="H112" s="614">
        <f>'predicted levels'!S23</f>
        <v>0.20000000000000284</v>
      </c>
      <c r="I112" s="626"/>
      <c r="J112" s="74"/>
      <c r="K112" s="189"/>
      <c r="M112" s="522"/>
      <c r="N112" s="189"/>
      <c r="R112" s="67"/>
      <c r="S112" s="67"/>
      <c r="U112" s="514"/>
      <c r="V112" s="510"/>
      <c r="W112" s="514"/>
      <c r="X112" s="510"/>
      <c r="Y112" s="514"/>
      <c r="Z112" s="510"/>
      <c r="AA112" s="514"/>
    </row>
    <row r="113" spans="2:30" ht="15.75" thickBot="1" x14ac:dyDescent="0.3">
      <c r="B113" s="584" t="str">
        <f t="shared" si="17"/>
        <v>Feb 20</v>
      </c>
      <c r="C113" s="614">
        <f t="shared" si="18"/>
        <v>102.34999999999994</v>
      </c>
      <c r="D113" s="615"/>
      <c r="E113" s="585" t="str">
        <f>('predicted levels'!R28)</f>
        <v>Feb/Mar</v>
      </c>
      <c r="F113" s="607"/>
      <c r="G113" s="607"/>
      <c r="H113" s="616">
        <f>'predicted levels'!S28</f>
        <v>0.75</v>
      </c>
      <c r="I113" s="626"/>
      <c r="J113" s="74"/>
      <c r="K113" s="189"/>
      <c r="M113" s="522"/>
      <c r="N113" s="189"/>
      <c r="R113" s="67"/>
      <c r="S113" s="67"/>
      <c r="U113" s="514"/>
      <c r="V113" s="510"/>
      <c r="W113" s="514"/>
      <c r="X113" s="510"/>
      <c r="Y113" s="514"/>
      <c r="Z113" s="510"/>
      <c r="AA113" s="514"/>
    </row>
    <row r="114" spans="2:30" ht="15.75" thickBot="1" x14ac:dyDescent="0.3">
      <c r="B114" s="584" t="str">
        <f t="shared" si="17"/>
        <v>Mar 20</v>
      </c>
      <c r="C114" s="614">
        <f t="shared" si="18"/>
        <v>101.59999999999994</v>
      </c>
      <c r="D114" s="615"/>
      <c r="E114" s="617"/>
      <c r="F114" s="619"/>
      <c r="G114" s="619"/>
      <c r="H114" s="609"/>
      <c r="I114" s="626"/>
      <c r="J114" s="74"/>
      <c r="K114" s="189"/>
      <c r="M114" s="522"/>
      <c r="N114" s="189"/>
      <c r="R114" s="67"/>
      <c r="S114" s="67"/>
      <c r="U114" s="514"/>
      <c r="V114" s="510"/>
      <c r="W114" s="514"/>
      <c r="X114" s="510"/>
      <c r="Y114" s="514"/>
      <c r="Z114" s="510"/>
      <c r="AA114" s="514"/>
    </row>
    <row r="115" spans="2:30" ht="16.5" thickBot="1" x14ac:dyDescent="0.3">
      <c r="B115" s="584" t="str">
        <f t="shared" si="17"/>
        <v>Apr 20</v>
      </c>
      <c r="C115" s="614">
        <f t="shared" si="18"/>
        <v>101.04999999999994</v>
      </c>
      <c r="D115" s="615"/>
      <c r="E115" s="597" t="s">
        <v>315</v>
      </c>
      <c r="F115" s="632"/>
      <c r="G115" s="632"/>
      <c r="H115" s="612"/>
      <c r="I115" s="626"/>
      <c r="J115" s="74"/>
      <c r="K115" s="189"/>
      <c r="M115" s="522"/>
      <c r="N115" s="189"/>
      <c r="R115" s="67"/>
      <c r="S115" s="67"/>
      <c r="U115" s="268"/>
      <c r="V115" s="269"/>
      <c r="W115" s="76"/>
      <c r="X115" s="189"/>
      <c r="Z115" s="516"/>
      <c r="AA115" s="189"/>
    </row>
    <row r="116" spans="2:30" x14ac:dyDescent="0.25">
      <c r="B116" s="584" t="str">
        <f t="shared" si="17"/>
        <v>Q1 20</v>
      </c>
      <c r="C116" s="614">
        <f t="shared" si="18"/>
        <v>102.34999999999994</v>
      </c>
      <c r="D116" s="615"/>
      <c r="E116" s="637" t="str">
        <f>('predicted levels'!R9)</f>
        <v>Dec 19</v>
      </c>
      <c r="F116" s="639"/>
      <c r="G116" s="640"/>
      <c r="H116" s="638">
        <f>('predicted levels'!S9)</f>
        <v>10.9</v>
      </c>
      <c r="I116" s="626"/>
      <c r="J116" s="74"/>
      <c r="K116" s="189"/>
      <c r="M116" s="522"/>
      <c r="N116" s="189"/>
      <c r="R116" s="67"/>
      <c r="S116" s="67"/>
      <c r="U116" s="268"/>
      <c r="V116" s="269"/>
      <c r="W116" s="76"/>
      <c r="X116" s="189"/>
      <c r="Z116" s="516"/>
      <c r="AA116" s="189"/>
    </row>
    <row r="117" spans="2:30" ht="15.75" thickBot="1" x14ac:dyDescent="0.3">
      <c r="B117" s="585" t="str">
        <f t="shared" si="17"/>
        <v>Q2 20</v>
      </c>
      <c r="C117" s="616">
        <f t="shared" si="18"/>
        <v>100.64999999999995</v>
      </c>
      <c r="D117" s="591"/>
      <c r="E117" s="633" t="str">
        <f>('predicted levels'!R10)</f>
        <v>Jan 20</v>
      </c>
      <c r="F117" s="641"/>
      <c r="G117" s="642"/>
      <c r="H117" s="634">
        <f>('predicted levels'!S10)</f>
        <v>11.45</v>
      </c>
      <c r="I117" s="626"/>
      <c r="J117" s="74"/>
      <c r="K117" s="189"/>
      <c r="M117" s="522"/>
      <c r="N117" s="189"/>
      <c r="R117" s="67"/>
      <c r="S117" s="67"/>
      <c r="U117" s="268"/>
      <c r="V117" s="269"/>
      <c r="W117" s="76"/>
      <c r="X117" s="189"/>
      <c r="Z117" s="516"/>
      <c r="AA117" s="189"/>
    </row>
    <row r="118" spans="2:30" ht="15.75" thickBot="1" x14ac:dyDescent="0.3">
      <c r="D118" s="591"/>
      <c r="E118" s="633" t="str">
        <f>('predicted levels'!R11)</f>
        <v>Feb 20</v>
      </c>
      <c r="F118" s="641"/>
      <c r="G118" s="642"/>
      <c r="H118" s="634">
        <f>('predicted levels'!S11)</f>
        <v>12.3</v>
      </c>
      <c r="I118" s="626"/>
      <c r="J118" s="74"/>
      <c r="K118" s="189"/>
      <c r="M118" s="516"/>
      <c r="N118" s="189"/>
      <c r="R118" s="67"/>
      <c r="S118" s="67"/>
      <c r="U118" s="268"/>
      <c r="V118" s="269"/>
      <c r="W118" s="76"/>
      <c r="X118" s="189"/>
      <c r="Z118" s="516"/>
      <c r="AA118" s="189"/>
    </row>
    <row r="119" spans="2:30" ht="16.5" thickBot="1" x14ac:dyDescent="0.3">
      <c r="B119" s="618" t="s">
        <v>320</v>
      </c>
      <c r="C119" s="612"/>
      <c r="D119" s="591"/>
      <c r="E119" s="633" t="str">
        <f>('predicted levels'!R12)</f>
        <v>Mar 20</v>
      </c>
      <c r="F119" s="641"/>
      <c r="G119" s="642"/>
      <c r="H119" s="634">
        <f>('predicted levels'!S12)</f>
        <v>12.8</v>
      </c>
      <c r="I119" s="626"/>
      <c r="J119" s="74"/>
      <c r="K119" s="189"/>
      <c r="M119" s="516"/>
      <c r="N119" s="189"/>
      <c r="R119" s="511"/>
      <c r="S119" s="511"/>
      <c r="U119" s="268"/>
      <c r="V119" s="269"/>
      <c r="W119" s="76"/>
      <c r="X119" s="189"/>
      <c r="Z119" s="516"/>
      <c r="AA119" s="189"/>
    </row>
    <row r="120" spans="2:30" ht="15.75" thickBot="1" x14ac:dyDescent="0.3">
      <c r="B120" s="583" t="str">
        <f t="shared" ref="B120:C122" si="19">U18</f>
        <v>Dec 19</v>
      </c>
      <c r="C120" s="613">
        <f t="shared" si="19"/>
        <v>24.75</v>
      </c>
      <c r="D120" s="619"/>
      <c r="E120" s="633" t="str">
        <f>('predicted levels'!R13)</f>
        <v>Apr 20</v>
      </c>
      <c r="F120" s="641"/>
      <c r="G120" s="642"/>
      <c r="H120" s="634">
        <f>('predicted levels'!S13)</f>
        <v>13.35</v>
      </c>
      <c r="I120" s="626"/>
      <c r="J120" s="74"/>
      <c r="K120" s="189"/>
      <c r="M120" s="516"/>
      <c r="N120" s="189"/>
      <c r="R120" s="103"/>
      <c r="S120" s="103"/>
      <c r="U120" s="268"/>
      <c r="V120" s="269"/>
      <c r="W120" s="76"/>
      <c r="X120" s="189"/>
      <c r="Z120" s="516"/>
      <c r="AA120" s="189"/>
    </row>
    <row r="121" spans="2:30" ht="15.75" thickBot="1" x14ac:dyDescent="0.3">
      <c r="B121" s="583" t="str">
        <f t="shared" si="19"/>
        <v>Jan 20</v>
      </c>
      <c r="C121" s="613">
        <f t="shared" si="19"/>
        <v>25.25</v>
      </c>
      <c r="D121" s="593"/>
      <c r="E121" s="633" t="str">
        <f>('predicted levels'!R14)</f>
        <v>Q1 20</v>
      </c>
      <c r="F121" s="641"/>
      <c r="G121" s="642"/>
      <c r="H121" s="634">
        <f>('predicted levels'!S14)</f>
        <v>12.35</v>
      </c>
      <c r="I121" s="626"/>
      <c r="J121" s="74"/>
      <c r="K121" s="189"/>
      <c r="M121" s="516"/>
      <c r="N121" s="189"/>
      <c r="R121" s="103"/>
      <c r="S121" s="103"/>
      <c r="T121" s="175"/>
      <c r="U121" s="268"/>
      <c r="V121" s="269"/>
      <c r="W121" s="76"/>
      <c r="X121" s="189"/>
      <c r="Z121" s="516"/>
      <c r="AA121" s="189"/>
    </row>
    <row r="122" spans="2:30" ht="15.75" thickBot="1" x14ac:dyDescent="0.3">
      <c r="B122" s="583" t="str">
        <f t="shared" si="19"/>
        <v>Feb 20</v>
      </c>
      <c r="C122" s="613">
        <f t="shared" si="19"/>
        <v>25</v>
      </c>
      <c r="E122" s="635" t="str">
        <f>('predicted levels'!R15)</f>
        <v>Q2 20</v>
      </c>
      <c r="F122" s="643"/>
      <c r="G122" s="644"/>
      <c r="H122" s="636">
        <f>('predicted levels'!S15)</f>
        <v>14</v>
      </c>
      <c r="I122" s="626"/>
      <c r="J122" s="74"/>
      <c r="K122" s="189"/>
      <c r="M122" s="516"/>
      <c r="N122" s="189"/>
      <c r="R122" s="103"/>
      <c r="S122" s="103"/>
      <c r="T122" s="103"/>
      <c r="U122" s="268"/>
      <c r="V122" s="269"/>
      <c r="W122" s="76"/>
      <c r="X122" s="189"/>
      <c r="Z122" s="516"/>
      <c r="AA122" s="189"/>
      <c r="AB122" s="70"/>
      <c r="AD122" s="70"/>
    </row>
    <row r="123" spans="2:30" ht="15.75" thickBot="1" x14ac:dyDescent="0.3">
      <c r="E123" s="629"/>
      <c r="F123" s="630"/>
      <c r="G123" s="630"/>
      <c r="H123" s="631"/>
      <c r="I123" s="626"/>
      <c r="J123" s="74"/>
      <c r="K123" s="189"/>
      <c r="M123" s="516"/>
      <c r="N123" s="189"/>
      <c r="P123" s="544"/>
      <c r="Q123" s="544"/>
      <c r="R123" s="103"/>
      <c r="S123" s="103"/>
      <c r="T123" s="103"/>
      <c r="U123" s="268"/>
      <c r="V123" s="269"/>
      <c r="W123" s="76"/>
      <c r="X123" s="189"/>
      <c r="Z123" s="516"/>
      <c r="AA123" s="189"/>
      <c r="AB123" s="70"/>
      <c r="AD123" s="70"/>
    </row>
    <row r="124" spans="2:30" ht="16.5" thickBot="1" x14ac:dyDescent="0.3">
      <c r="B124" s="597" t="s">
        <v>321</v>
      </c>
      <c r="C124" s="612"/>
      <c r="F124" s="65"/>
      <c r="G124" s="65"/>
      <c r="H124" s="624"/>
      <c r="I124" s="626"/>
      <c r="J124" s="74"/>
      <c r="K124" s="189"/>
      <c r="M124" s="516"/>
      <c r="N124" s="189"/>
      <c r="P124" s="544"/>
      <c r="Q124" s="544"/>
      <c r="R124" s="103"/>
      <c r="S124" s="103"/>
      <c r="T124" s="103"/>
      <c r="U124" s="268"/>
      <c r="V124" s="269"/>
      <c r="W124" s="76"/>
      <c r="X124" s="189"/>
      <c r="Z124" s="516"/>
      <c r="AA124" s="189"/>
      <c r="AB124" s="70"/>
      <c r="AD124" s="70"/>
    </row>
    <row r="125" spans="2:30" ht="15.75" thickBot="1" x14ac:dyDescent="0.3">
      <c r="B125" s="583" t="str">
        <f>U24</f>
        <v>Dec/Jan</v>
      </c>
      <c r="C125" s="613">
        <f>V24</f>
        <v>-0.5</v>
      </c>
      <c r="F125" s="65"/>
      <c r="G125" s="65"/>
      <c r="H125" s="624"/>
      <c r="I125" s="626"/>
      <c r="J125" s="74"/>
      <c r="K125" s="189"/>
      <c r="M125" s="516"/>
      <c r="N125" s="189"/>
      <c r="P125" s="544"/>
      <c r="Q125" s="544"/>
      <c r="R125" s="103"/>
      <c r="S125" s="103"/>
      <c r="T125" s="103"/>
      <c r="U125" s="268"/>
      <c r="V125" s="269"/>
      <c r="W125" s="76"/>
      <c r="X125" s="189"/>
      <c r="Z125" s="516"/>
      <c r="AA125" s="189"/>
      <c r="AB125" s="70"/>
      <c r="AD125" s="70"/>
    </row>
    <row r="126" spans="2:30" x14ac:dyDescent="0.25">
      <c r="B126" s="583" t="str">
        <f>U25</f>
        <v>Jan/Feb</v>
      </c>
      <c r="C126" s="613">
        <f>V25</f>
        <v>0.25</v>
      </c>
      <c r="F126" s="65"/>
      <c r="G126" s="65"/>
      <c r="H126" s="624"/>
      <c r="I126" s="626"/>
      <c r="J126" s="74"/>
      <c r="K126" s="189"/>
      <c r="M126" s="516"/>
      <c r="N126" s="189"/>
      <c r="P126" s="544"/>
      <c r="Q126" s="544"/>
      <c r="R126" s="103"/>
      <c r="S126" s="103"/>
      <c r="T126" s="103"/>
      <c r="U126" s="268"/>
      <c r="V126" s="269"/>
      <c r="W126" s="76"/>
      <c r="X126" s="189"/>
      <c r="Z126" s="516"/>
      <c r="AA126" s="189"/>
      <c r="AB126" s="119"/>
      <c r="AC126" s="173"/>
      <c r="AD126" s="70"/>
    </row>
    <row r="127" spans="2:30" x14ac:dyDescent="0.25">
      <c r="B127" s="645"/>
      <c r="C127" s="630"/>
      <c r="D127" s="630"/>
      <c r="E127" s="629"/>
      <c r="F127" s="630"/>
      <c r="G127" s="630"/>
      <c r="H127" s="631"/>
      <c r="I127" s="646"/>
      <c r="J127" s="74"/>
      <c r="K127" s="189"/>
      <c r="M127" s="516"/>
      <c r="N127" s="189"/>
      <c r="P127" s="544"/>
      <c r="Q127" s="544"/>
      <c r="R127" s="103"/>
      <c r="S127" s="103"/>
      <c r="T127" s="103"/>
      <c r="U127" s="268"/>
      <c r="V127" s="269"/>
      <c r="W127" s="76"/>
      <c r="X127" s="189"/>
      <c r="Z127" s="516"/>
      <c r="AA127" s="189"/>
      <c r="AB127" s="70"/>
      <c r="AD127" s="70"/>
    </row>
    <row r="128" spans="2:30" x14ac:dyDescent="0.25">
      <c r="B128" s="645"/>
      <c r="C128" s="630"/>
      <c r="D128" s="630"/>
      <c r="E128" s="629"/>
      <c r="F128" s="630"/>
      <c r="G128" s="630"/>
      <c r="H128" s="631"/>
      <c r="I128" s="646"/>
      <c r="J128" s="74"/>
      <c r="K128" s="189"/>
      <c r="M128" s="516"/>
      <c r="N128" s="189"/>
      <c r="P128" s="544"/>
      <c r="Q128" s="544"/>
      <c r="R128" s="103"/>
      <c r="S128" s="103"/>
      <c r="T128" s="103"/>
      <c r="U128" s="268"/>
      <c r="V128" s="269"/>
      <c r="W128" s="76"/>
      <c r="X128" s="189"/>
      <c r="Z128" s="516"/>
      <c r="AA128" s="189"/>
      <c r="AB128" s="70"/>
      <c r="AD128" s="70"/>
    </row>
    <row r="129" spans="2:30" x14ac:dyDescent="0.25">
      <c r="B129" s="645"/>
      <c r="C129" s="630"/>
      <c r="D129" s="630"/>
      <c r="E129" s="629"/>
      <c r="F129" s="630"/>
      <c r="G129" s="630"/>
      <c r="H129" s="631"/>
      <c r="I129" s="646"/>
      <c r="J129" s="74"/>
      <c r="K129" s="189"/>
      <c r="M129" s="516"/>
      <c r="N129" s="189"/>
      <c r="P129" s="544"/>
      <c r="Q129" s="544"/>
      <c r="R129" s="103"/>
      <c r="S129" s="103"/>
      <c r="T129" s="103"/>
      <c r="U129" s="268"/>
      <c r="V129" s="269"/>
      <c r="W129" s="76"/>
      <c r="X129" s="189"/>
      <c r="Z129" s="516"/>
      <c r="AA129" s="189"/>
      <c r="AB129" s="66"/>
      <c r="AD129" s="70"/>
    </row>
    <row r="130" spans="2:30" x14ac:dyDescent="0.25">
      <c r="B130" s="645"/>
      <c r="C130" s="630"/>
      <c r="D130" s="630"/>
      <c r="E130" s="629"/>
      <c r="F130" s="630"/>
      <c r="G130" s="630"/>
      <c r="H130" s="647"/>
      <c r="I130" s="646"/>
      <c r="J130" s="87"/>
      <c r="K130" s="189"/>
      <c r="M130" s="516"/>
      <c r="N130" s="189"/>
      <c r="P130" s="544"/>
      <c r="Q130" s="544"/>
      <c r="R130" s="103"/>
      <c r="S130" s="103"/>
      <c r="T130" s="103"/>
      <c r="U130" s="268"/>
      <c r="V130" s="269"/>
      <c r="W130" s="76"/>
      <c r="X130" s="189"/>
      <c r="Z130" s="516"/>
      <c r="AA130" s="189"/>
      <c r="AB130" s="70"/>
      <c r="AD130" s="70"/>
    </row>
    <row r="131" spans="2:30" x14ac:dyDescent="0.25">
      <c r="B131" s="274"/>
      <c r="C131" s="123"/>
      <c r="D131" s="123"/>
      <c r="E131" s="275"/>
      <c r="H131" s="515"/>
      <c r="I131" s="269"/>
      <c r="J131" s="87"/>
      <c r="K131" s="189"/>
      <c r="M131" s="516"/>
      <c r="N131" s="189"/>
      <c r="P131" s="544"/>
      <c r="Q131" s="544"/>
      <c r="R131" s="103"/>
      <c r="S131" s="103"/>
      <c r="T131" s="103"/>
      <c r="U131" s="268"/>
      <c r="V131" s="269"/>
      <c r="W131" s="76"/>
      <c r="X131" s="189"/>
      <c r="Z131" s="516"/>
      <c r="AA131" s="189"/>
      <c r="AB131" s="70"/>
      <c r="AD131" s="64"/>
    </row>
    <row r="132" spans="2:30" x14ac:dyDescent="0.25">
      <c r="B132" s="274"/>
      <c r="C132" s="123"/>
      <c r="D132" s="123"/>
      <c r="E132" s="275"/>
      <c r="H132" s="515"/>
      <c r="I132" s="269"/>
      <c r="J132" s="87"/>
      <c r="K132" s="189"/>
      <c r="M132" s="516"/>
      <c r="N132" s="189"/>
      <c r="P132" s="544"/>
      <c r="Q132" s="544"/>
      <c r="R132" s="103"/>
      <c r="S132" s="103"/>
      <c r="T132" s="103"/>
      <c r="U132" s="268"/>
      <c r="V132" s="269"/>
      <c r="W132" s="76"/>
      <c r="X132" s="189"/>
      <c r="Z132" s="516"/>
      <c r="AA132" s="189"/>
      <c r="AB132" s="119"/>
      <c r="AD132" s="64"/>
    </row>
    <row r="133" spans="2:30" x14ac:dyDescent="0.25">
      <c r="B133" s="274"/>
      <c r="C133" s="123"/>
      <c r="D133" s="123"/>
      <c r="E133" s="275"/>
      <c r="H133" s="515"/>
      <c r="I133" s="269"/>
      <c r="J133" s="87"/>
      <c r="K133" s="189"/>
      <c r="M133" s="516"/>
      <c r="N133" s="189"/>
      <c r="P133" s="544"/>
      <c r="Q133" s="544"/>
      <c r="R133" s="103"/>
      <c r="S133" s="103"/>
      <c r="T133" s="103"/>
      <c r="U133" s="268"/>
      <c r="V133" s="269"/>
      <c r="W133" s="76"/>
      <c r="X133" s="189"/>
      <c r="Z133" s="516"/>
      <c r="AA133" s="189"/>
      <c r="AB133" s="70"/>
      <c r="AD133" s="70"/>
    </row>
    <row r="134" spans="2:30" x14ac:dyDescent="0.25">
      <c r="B134" s="123"/>
      <c r="C134" s="123"/>
      <c r="D134" s="123"/>
      <c r="E134" s="275"/>
      <c r="H134" s="515"/>
      <c r="I134" s="269"/>
      <c r="J134" s="87"/>
      <c r="K134" s="189"/>
      <c r="M134" s="516"/>
      <c r="N134" s="189"/>
      <c r="P134" s="544"/>
      <c r="Q134" s="544"/>
      <c r="R134" s="103"/>
      <c r="S134" s="103"/>
      <c r="T134" s="103"/>
      <c r="U134" s="268"/>
      <c r="V134" s="269"/>
      <c r="W134" s="76"/>
      <c r="X134" s="189"/>
      <c r="Z134" s="516"/>
      <c r="AA134" s="189"/>
    </row>
    <row r="135" spans="2:30" x14ac:dyDescent="0.25">
      <c r="B135" s="123"/>
      <c r="C135" s="123"/>
      <c r="D135" s="123"/>
      <c r="E135" s="275"/>
      <c r="H135" s="515"/>
      <c r="I135" s="269"/>
      <c r="J135" s="87"/>
      <c r="K135" s="189"/>
      <c r="M135" s="523"/>
      <c r="N135" s="465"/>
      <c r="O135" s="555"/>
      <c r="P135" s="544"/>
      <c r="Q135" s="544"/>
      <c r="R135" s="103"/>
      <c r="S135" s="103"/>
      <c r="T135" s="103"/>
      <c r="U135" s="268"/>
      <c r="V135" s="269"/>
      <c r="W135" s="76"/>
      <c r="X135" s="189"/>
      <c r="Z135" s="516"/>
      <c r="AA135" s="189"/>
    </row>
    <row r="136" spans="2:30" x14ac:dyDescent="0.25">
      <c r="B136" s="123"/>
      <c r="C136" s="123"/>
      <c r="D136" s="123"/>
      <c r="E136" s="275"/>
      <c r="H136" s="515"/>
      <c r="I136" s="269"/>
      <c r="J136" s="87"/>
      <c r="K136" s="189"/>
      <c r="M136" s="516"/>
      <c r="N136" s="189"/>
      <c r="P136" s="544"/>
      <c r="Q136" s="544"/>
      <c r="R136" s="103"/>
      <c r="S136" s="103"/>
      <c r="T136" s="103"/>
      <c r="U136" s="268"/>
      <c r="V136" s="269"/>
      <c r="W136" s="76"/>
      <c r="X136" s="189"/>
      <c r="Z136" s="516"/>
      <c r="AA136" s="189"/>
    </row>
    <row r="137" spans="2:30" x14ac:dyDescent="0.25">
      <c r="B137" s="123"/>
      <c r="C137" s="123"/>
      <c r="D137" s="123"/>
      <c r="E137" s="275"/>
      <c r="H137" s="515"/>
      <c r="I137" s="269"/>
      <c r="J137" s="87"/>
      <c r="K137" s="189"/>
      <c r="M137" s="516"/>
      <c r="N137" s="189"/>
      <c r="P137" s="544"/>
      <c r="Q137" s="544"/>
      <c r="R137" s="103"/>
      <c r="S137" s="103"/>
      <c r="T137" s="103"/>
      <c r="U137" s="268"/>
      <c r="V137" s="269"/>
      <c r="W137" s="76"/>
      <c r="X137" s="189"/>
      <c r="Z137" s="516"/>
      <c r="AA137" s="189"/>
    </row>
    <row r="138" spans="2:30" x14ac:dyDescent="0.25">
      <c r="B138" s="123"/>
      <c r="C138" s="123"/>
      <c r="D138" s="123"/>
      <c r="E138" s="275"/>
      <c r="H138" s="515"/>
      <c r="I138" s="269"/>
      <c r="J138" s="87"/>
      <c r="K138" s="189"/>
      <c r="M138" s="516"/>
      <c r="N138" s="189"/>
      <c r="P138" s="544"/>
      <c r="Q138" s="544"/>
      <c r="R138" s="103"/>
      <c r="S138" s="103"/>
      <c r="T138" s="103"/>
      <c r="U138" s="268"/>
      <c r="V138" s="269"/>
      <c r="W138" s="76"/>
      <c r="X138" s="189"/>
      <c r="Z138" s="516"/>
      <c r="AA138" s="189"/>
    </row>
    <row r="139" spans="2:30" x14ac:dyDescent="0.25">
      <c r="B139" s="123"/>
      <c r="C139" s="123"/>
      <c r="D139" s="123"/>
      <c r="E139" s="275"/>
      <c r="H139" s="515"/>
      <c r="I139" s="269"/>
      <c r="J139" s="87"/>
      <c r="K139" s="189"/>
      <c r="M139" s="516"/>
      <c r="N139" s="189"/>
      <c r="P139" s="544"/>
      <c r="Q139" s="544"/>
      <c r="R139" s="103"/>
      <c r="S139" s="103"/>
      <c r="T139" s="103"/>
      <c r="U139" s="268"/>
      <c r="V139" s="269"/>
      <c r="W139" s="76"/>
      <c r="X139" s="189"/>
      <c r="Z139" s="516"/>
      <c r="AA139" s="189"/>
    </row>
    <row r="140" spans="2:30" x14ac:dyDescent="0.25">
      <c r="B140" s="123"/>
      <c r="C140" s="123"/>
      <c r="D140" s="123"/>
      <c r="E140" s="275"/>
      <c r="H140" s="515"/>
      <c r="I140" s="269"/>
      <c r="J140" s="87"/>
      <c r="K140" s="189"/>
      <c r="M140" s="516"/>
      <c r="N140" s="189"/>
      <c r="P140" s="544"/>
      <c r="Q140" s="544"/>
      <c r="R140" s="103"/>
      <c r="S140" s="103"/>
      <c r="T140" s="103"/>
      <c r="U140" s="268"/>
      <c r="V140" s="269"/>
      <c r="W140" s="76"/>
      <c r="X140" s="189"/>
      <c r="Z140" s="516"/>
      <c r="AA140" s="189"/>
    </row>
    <row r="141" spans="2:30" x14ac:dyDescent="0.25">
      <c r="B141" s="123"/>
      <c r="C141" s="123"/>
      <c r="D141" s="123"/>
      <c r="E141" s="275"/>
      <c r="H141" s="515"/>
      <c r="I141" s="269"/>
      <c r="J141" s="87"/>
      <c r="K141" s="189"/>
      <c r="M141" s="516"/>
      <c r="N141" s="189"/>
      <c r="P141" s="544"/>
      <c r="Q141" s="544"/>
      <c r="R141" s="103"/>
      <c r="S141" s="103"/>
      <c r="T141" s="103"/>
      <c r="U141" s="268"/>
      <c r="V141" s="269"/>
      <c r="W141" s="76"/>
      <c r="X141" s="189"/>
      <c r="Z141" s="516"/>
      <c r="AA141" s="189"/>
    </row>
    <row r="142" spans="2:30" x14ac:dyDescent="0.25">
      <c r="B142" s="123"/>
      <c r="C142" s="123"/>
      <c r="D142" s="123"/>
      <c r="E142" s="275"/>
      <c r="H142" s="515"/>
      <c r="I142" s="269"/>
      <c r="J142" s="87"/>
      <c r="K142" s="189"/>
      <c r="M142" s="516"/>
      <c r="N142" s="189"/>
      <c r="P142" s="544"/>
      <c r="Q142" s="544"/>
      <c r="R142" s="103"/>
      <c r="S142" s="103"/>
      <c r="T142" s="103"/>
      <c r="U142" s="268"/>
      <c r="V142" s="269"/>
      <c r="W142" s="76"/>
      <c r="X142" s="189"/>
      <c r="Z142" s="516"/>
      <c r="AA142" s="189"/>
    </row>
    <row r="143" spans="2:30" x14ac:dyDescent="0.25">
      <c r="B143" s="123"/>
      <c r="C143" s="123"/>
      <c r="D143" s="123"/>
      <c r="E143" s="275"/>
      <c r="H143" s="515"/>
      <c r="I143" s="269"/>
      <c r="J143" s="87"/>
      <c r="K143" s="189"/>
      <c r="M143" s="516"/>
      <c r="N143" s="189"/>
      <c r="P143" s="544"/>
      <c r="Q143" s="544"/>
      <c r="R143" s="103"/>
      <c r="S143" s="103"/>
      <c r="T143" s="103"/>
      <c r="U143" s="268"/>
      <c r="V143" s="269"/>
      <c r="W143" s="76"/>
      <c r="X143" s="189"/>
      <c r="Z143" s="516"/>
      <c r="AA143" s="189"/>
    </row>
    <row r="144" spans="2:30" x14ac:dyDescent="0.25">
      <c r="B144" s="123"/>
      <c r="C144" s="123"/>
      <c r="D144" s="123"/>
      <c r="E144" s="275"/>
      <c r="H144" s="515"/>
      <c r="I144" s="269"/>
      <c r="J144" s="87"/>
      <c r="K144" s="189"/>
      <c r="M144" s="516"/>
      <c r="N144" s="189"/>
      <c r="P144" s="544"/>
      <c r="Q144" s="544"/>
      <c r="R144" s="67"/>
      <c r="S144" s="67"/>
      <c r="T144" s="103"/>
      <c r="U144" s="268"/>
      <c r="V144" s="269"/>
      <c r="W144" s="76"/>
      <c r="X144" s="189"/>
      <c r="Z144" s="516"/>
      <c r="AA144" s="189"/>
    </row>
    <row r="145" spans="8:27" x14ac:dyDescent="0.25">
      <c r="H145" s="268"/>
      <c r="I145" s="269"/>
      <c r="J145" s="74"/>
      <c r="K145" s="189"/>
      <c r="M145" s="516"/>
      <c r="N145" s="189"/>
      <c r="P145" s="544"/>
      <c r="Q145" s="544"/>
      <c r="R145" s="67"/>
      <c r="S145" s="67"/>
      <c r="T145" s="103"/>
      <c r="U145" s="268"/>
      <c r="V145" s="269"/>
      <c r="W145" s="76"/>
      <c r="X145" s="189"/>
      <c r="Z145" s="516"/>
      <c r="AA145" s="189"/>
    </row>
    <row r="146" spans="8:27" x14ac:dyDescent="0.25">
      <c r="H146" s="268"/>
      <c r="I146" s="269"/>
      <c r="J146" s="74"/>
      <c r="K146" s="189"/>
      <c r="M146" s="516"/>
      <c r="N146" s="189"/>
      <c r="R146" s="67"/>
      <c r="S146" s="67"/>
      <c r="U146" s="268"/>
      <c r="V146" s="269"/>
      <c r="W146" s="76"/>
      <c r="X146" s="189"/>
      <c r="Z146" s="516"/>
      <c r="AA146" s="189"/>
    </row>
    <row r="147" spans="8:27" x14ac:dyDescent="0.25">
      <c r="H147" s="268"/>
      <c r="I147" s="269"/>
      <c r="J147" s="74"/>
      <c r="K147" s="189"/>
      <c r="M147" s="516"/>
      <c r="N147" s="189"/>
      <c r="R147" s="67"/>
      <c r="S147" s="67"/>
      <c r="U147" s="268"/>
      <c r="V147" s="269"/>
      <c r="W147" s="76"/>
      <c r="X147" s="189"/>
      <c r="Z147" s="516"/>
      <c r="AA147" s="189"/>
    </row>
    <row r="148" spans="8:27" x14ac:dyDescent="0.25">
      <c r="H148" s="268"/>
      <c r="I148" s="269"/>
      <c r="J148" s="74"/>
      <c r="K148" s="189"/>
      <c r="M148" s="516"/>
      <c r="N148" s="189"/>
      <c r="R148" s="67"/>
      <c r="S148" s="67"/>
      <c r="U148" s="268"/>
      <c r="V148" s="269"/>
      <c r="W148" s="76"/>
      <c r="X148" s="189"/>
      <c r="Z148" s="516"/>
      <c r="AA148" s="189"/>
    </row>
    <row r="149" spans="8:27" x14ac:dyDescent="0.25">
      <c r="H149" s="268"/>
      <c r="I149" s="269"/>
      <c r="J149" s="74"/>
      <c r="K149" s="189"/>
      <c r="M149" s="516"/>
      <c r="N149" s="189"/>
      <c r="R149" s="67"/>
      <c r="S149" s="67"/>
      <c r="U149" s="268"/>
      <c r="V149" s="269"/>
      <c r="W149" s="76"/>
      <c r="X149" s="189"/>
      <c r="Z149" s="516"/>
      <c r="AA149" s="189"/>
    </row>
    <row r="150" spans="8:27" x14ac:dyDescent="0.25">
      <c r="H150" s="268"/>
      <c r="I150" s="269"/>
      <c r="J150" s="74"/>
      <c r="K150" s="189"/>
      <c r="M150" s="516"/>
      <c r="N150" s="189"/>
      <c r="R150" s="67"/>
      <c r="S150" s="67"/>
      <c r="U150" s="268"/>
      <c r="V150" s="269"/>
      <c r="W150" s="76"/>
      <c r="X150" s="189"/>
      <c r="Z150" s="516"/>
      <c r="AA150" s="189"/>
    </row>
    <row r="151" spans="8:27" x14ac:dyDescent="0.25">
      <c r="H151" s="268"/>
      <c r="I151" s="269"/>
      <c r="J151" s="74"/>
      <c r="K151" s="189"/>
      <c r="M151" s="516"/>
      <c r="N151" s="189"/>
      <c r="R151" s="67"/>
      <c r="S151" s="67"/>
      <c r="U151" s="268"/>
      <c r="V151" s="269"/>
      <c r="W151" s="76"/>
      <c r="X151" s="189"/>
      <c r="Z151" s="516"/>
      <c r="AA151" s="189"/>
    </row>
    <row r="152" spans="8:27" x14ac:dyDescent="0.25">
      <c r="H152" s="268"/>
      <c r="I152" s="269"/>
      <c r="J152" s="74"/>
      <c r="K152" s="189"/>
      <c r="M152" s="516"/>
      <c r="N152" s="189"/>
      <c r="R152" s="67"/>
      <c r="S152" s="67"/>
      <c r="U152" s="268"/>
      <c r="V152" s="269"/>
      <c r="W152" s="76"/>
      <c r="X152" s="189"/>
      <c r="Z152" s="516"/>
      <c r="AA152" s="189"/>
    </row>
    <row r="153" spans="8:27" x14ac:dyDescent="0.25">
      <c r="H153" s="268"/>
      <c r="I153" s="269"/>
      <c r="J153" s="74"/>
      <c r="K153" s="189"/>
      <c r="M153" s="516"/>
      <c r="N153" s="189"/>
      <c r="R153" s="67"/>
      <c r="S153" s="67"/>
      <c r="U153" s="268"/>
      <c r="V153" s="269"/>
      <c r="W153" s="76"/>
      <c r="X153" s="189"/>
      <c r="Z153" s="516"/>
      <c r="AA153" s="189"/>
    </row>
    <row r="154" spans="8:27" x14ac:dyDescent="0.25">
      <c r="H154" s="268"/>
      <c r="I154" s="269"/>
      <c r="J154" s="74"/>
      <c r="K154" s="189"/>
      <c r="M154" s="516"/>
      <c r="N154" s="189"/>
      <c r="R154" s="67"/>
      <c r="S154" s="67"/>
      <c r="U154" s="268"/>
      <c r="V154" s="269"/>
      <c r="W154" s="76"/>
      <c r="X154" s="189"/>
      <c r="Z154" s="516"/>
      <c r="AA154" s="189"/>
    </row>
    <row r="155" spans="8:27" x14ac:dyDescent="0.25">
      <c r="H155" s="268"/>
      <c r="I155" s="269"/>
      <c r="J155" s="74"/>
      <c r="K155" s="189"/>
      <c r="M155" s="516"/>
      <c r="N155" s="189"/>
      <c r="R155" s="67"/>
      <c r="S155" s="67"/>
      <c r="U155" s="268"/>
      <c r="V155" s="269"/>
      <c r="W155" s="76"/>
      <c r="X155" s="189"/>
      <c r="Z155" s="516"/>
      <c r="AA155" s="189"/>
    </row>
    <row r="156" spans="8:27" x14ac:dyDescent="0.25">
      <c r="H156" s="268"/>
      <c r="I156" s="269"/>
      <c r="J156" s="74"/>
      <c r="K156" s="189"/>
      <c r="M156" s="516"/>
      <c r="N156" s="189"/>
      <c r="R156" s="67"/>
      <c r="S156" s="67"/>
      <c r="U156" s="268"/>
      <c r="V156" s="269"/>
      <c r="W156" s="76"/>
      <c r="X156" s="189"/>
      <c r="Z156" s="516"/>
      <c r="AA156" s="189"/>
    </row>
    <row r="157" spans="8:27" x14ac:dyDescent="0.25">
      <c r="H157" s="268"/>
      <c r="I157" s="269"/>
      <c r="J157" s="74"/>
      <c r="K157" s="189"/>
      <c r="M157" s="516"/>
      <c r="N157" s="189"/>
      <c r="R157" s="67"/>
      <c r="S157" s="67"/>
      <c r="U157" s="268"/>
      <c r="V157" s="269"/>
      <c r="W157" s="76"/>
      <c r="X157" s="189"/>
      <c r="Z157" s="516"/>
      <c r="AA157" s="189"/>
    </row>
    <row r="158" spans="8:27" x14ac:dyDescent="0.25">
      <c r="H158" s="268"/>
      <c r="I158" s="269"/>
      <c r="J158" s="74"/>
      <c r="K158" s="189"/>
      <c r="M158" s="516"/>
      <c r="N158" s="189"/>
      <c r="R158" s="67"/>
      <c r="S158" s="67"/>
      <c r="U158" s="268"/>
      <c r="V158" s="269"/>
      <c r="W158" s="76"/>
      <c r="X158" s="189"/>
      <c r="Z158" s="516"/>
      <c r="AA158" s="189"/>
    </row>
    <row r="159" spans="8:27" x14ac:dyDescent="0.25">
      <c r="H159" s="268"/>
      <c r="I159" s="269"/>
      <c r="J159" s="74"/>
      <c r="K159" s="189"/>
      <c r="M159" s="516"/>
      <c r="N159" s="189"/>
      <c r="R159" s="67"/>
      <c r="S159" s="67"/>
      <c r="U159" s="268"/>
      <c r="V159" s="269"/>
      <c r="W159" s="76"/>
      <c r="X159" s="189"/>
      <c r="Z159" s="516"/>
      <c r="AA159" s="189"/>
    </row>
    <row r="160" spans="8:27" x14ac:dyDescent="0.25">
      <c r="H160" s="268"/>
      <c r="I160" s="269"/>
      <c r="J160" s="74"/>
      <c r="K160" s="189"/>
      <c r="M160" s="516"/>
      <c r="N160" s="189"/>
      <c r="R160" s="67"/>
      <c r="S160" s="67"/>
      <c r="U160" s="268"/>
      <c r="V160" s="269"/>
      <c r="W160" s="76"/>
      <c r="X160" s="189"/>
      <c r="Z160" s="516"/>
      <c r="AA160" s="189"/>
    </row>
    <row r="161" spans="8:27" x14ac:dyDescent="0.25">
      <c r="H161" s="268"/>
      <c r="I161" s="269"/>
      <c r="J161" s="74"/>
      <c r="K161" s="189"/>
      <c r="M161" s="516"/>
      <c r="N161" s="189"/>
      <c r="R161" s="67"/>
      <c r="S161" s="67"/>
      <c r="U161" s="268"/>
      <c r="V161" s="269"/>
      <c r="W161" s="76"/>
      <c r="X161" s="189"/>
      <c r="Z161" s="516"/>
      <c r="AA161" s="189"/>
    </row>
    <row r="162" spans="8:27" x14ac:dyDescent="0.25">
      <c r="H162" s="268"/>
      <c r="I162" s="269"/>
      <c r="J162" s="74"/>
      <c r="K162" s="189"/>
      <c r="M162" s="516"/>
      <c r="N162" s="189"/>
      <c r="R162" s="67"/>
      <c r="S162" s="67"/>
      <c r="U162" s="268"/>
      <c r="V162" s="269"/>
      <c r="W162" s="76"/>
      <c r="X162" s="189"/>
      <c r="Z162" s="516"/>
      <c r="AA162" s="189"/>
    </row>
    <row r="163" spans="8:27" x14ac:dyDescent="0.25">
      <c r="H163" s="268"/>
      <c r="I163" s="269"/>
      <c r="J163" s="74"/>
      <c r="K163" s="189"/>
      <c r="M163" s="516"/>
      <c r="N163" s="189"/>
      <c r="R163" s="67"/>
      <c r="S163" s="67"/>
      <c r="U163" s="268"/>
      <c r="V163" s="269"/>
      <c r="W163" s="76"/>
      <c r="X163" s="189"/>
      <c r="Z163" s="516"/>
      <c r="AA163" s="189"/>
    </row>
    <row r="164" spans="8:27" x14ac:dyDescent="0.25">
      <c r="H164" s="268"/>
      <c r="I164" s="269"/>
      <c r="J164" s="74"/>
      <c r="K164" s="189"/>
      <c r="M164" s="516"/>
      <c r="N164" s="189"/>
      <c r="R164" s="67"/>
      <c r="S164" s="67"/>
      <c r="U164" s="268"/>
      <c r="V164" s="269"/>
      <c r="W164" s="76"/>
      <c r="X164" s="189"/>
      <c r="Z164" s="516"/>
      <c r="AA164" s="189"/>
    </row>
    <row r="165" spans="8:27" x14ac:dyDescent="0.25">
      <c r="H165" s="268"/>
      <c r="I165" s="269"/>
      <c r="J165" s="74"/>
      <c r="K165" s="189"/>
      <c r="M165" s="516"/>
      <c r="N165" s="189"/>
      <c r="R165" s="67"/>
      <c r="S165" s="67"/>
      <c r="U165" s="268"/>
      <c r="V165" s="269"/>
      <c r="W165" s="76"/>
      <c r="X165" s="189"/>
      <c r="Z165" s="516"/>
      <c r="AA165" s="189"/>
    </row>
    <row r="166" spans="8:27" x14ac:dyDescent="0.25">
      <c r="H166" s="268"/>
      <c r="I166" s="269"/>
      <c r="J166" s="74"/>
      <c r="K166" s="189"/>
      <c r="M166" s="516"/>
      <c r="N166" s="189"/>
      <c r="R166" s="67"/>
      <c r="S166" s="67"/>
      <c r="U166" s="268"/>
      <c r="V166" s="269"/>
      <c r="W166" s="76"/>
      <c r="X166" s="189"/>
      <c r="Z166" s="516"/>
      <c r="AA166" s="189"/>
    </row>
    <row r="167" spans="8:27" x14ac:dyDescent="0.25">
      <c r="H167" s="268"/>
      <c r="I167" s="269"/>
      <c r="J167" s="74"/>
      <c r="K167" s="189"/>
      <c r="M167" s="516"/>
      <c r="N167" s="189"/>
      <c r="R167" s="67"/>
      <c r="S167" s="67"/>
      <c r="U167" s="268"/>
      <c r="V167" s="269"/>
      <c r="W167" s="76"/>
      <c r="X167" s="189"/>
      <c r="Z167" s="516"/>
      <c r="AA167" s="189"/>
    </row>
    <row r="168" spans="8:27" x14ac:dyDescent="0.25">
      <c r="H168" s="268"/>
      <c r="I168" s="269"/>
      <c r="J168" s="74"/>
      <c r="K168" s="189"/>
      <c r="M168" s="516"/>
      <c r="N168" s="189"/>
      <c r="R168" s="67"/>
      <c r="S168" s="67"/>
      <c r="U168" s="268"/>
      <c r="V168" s="269"/>
      <c r="W168" s="76"/>
      <c r="X168" s="189"/>
      <c r="Z168" s="516"/>
      <c r="AA168" s="189"/>
    </row>
    <row r="169" spans="8:27" x14ac:dyDescent="0.25">
      <c r="H169" s="268"/>
      <c r="I169" s="269"/>
      <c r="J169" s="74"/>
      <c r="K169" s="189"/>
      <c r="M169" s="516"/>
      <c r="N169" s="189"/>
      <c r="R169" s="67"/>
      <c r="S169" s="67"/>
      <c r="U169" s="268"/>
      <c r="V169" s="269"/>
      <c r="W169" s="76"/>
      <c r="X169" s="189"/>
      <c r="Z169" s="516"/>
      <c r="AA169" s="189"/>
    </row>
    <row r="170" spans="8:27" x14ac:dyDescent="0.25">
      <c r="H170" s="268"/>
      <c r="I170" s="269"/>
      <c r="J170" s="74"/>
      <c r="K170" s="189"/>
      <c r="M170" s="516"/>
      <c r="N170" s="189"/>
      <c r="R170" s="67"/>
      <c r="S170" s="67"/>
      <c r="U170" s="268"/>
      <c r="V170" s="269"/>
      <c r="W170" s="76"/>
      <c r="X170" s="189"/>
      <c r="Z170" s="516"/>
      <c r="AA170" s="189"/>
    </row>
    <row r="171" spans="8:27" x14ac:dyDescent="0.25">
      <c r="H171" s="268"/>
      <c r="I171" s="269"/>
      <c r="J171" s="74"/>
      <c r="K171" s="189"/>
      <c r="M171" s="516"/>
      <c r="N171" s="189"/>
      <c r="R171" s="67"/>
      <c r="S171" s="67"/>
      <c r="U171" s="268"/>
      <c r="V171" s="269"/>
      <c r="W171" s="76"/>
      <c r="X171" s="189"/>
      <c r="Z171" s="516"/>
      <c r="AA171" s="189"/>
    </row>
    <row r="172" spans="8:27" x14ac:dyDescent="0.25">
      <c r="H172" s="268"/>
      <c r="I172" s="269"/>
      <c r="J172" s="74"/>
      <c r="K172" s="189"/>
      <c r="M172" s="516"/>
      <c r="N172" s="189"/>
      <c r="R172" s="67"/>
      <c r="S172" s="67"/>
      <c r="U172" s="268"/>
      <c r="V172" s="269"/>
      <c r="W172" s="76"/>
      <c r="X172" s="189"/>
      <c r="Z172" s="516"/>
      <c r="AA172" s="189"/>
    </row>
    <row r="173" spans="8:27" x14ac:dyDescent="0.25">
      <c r="H173" s="268"/>
      <c r="I173" s="269"/>
      <c r="J173" s="74"/>
      <c r="K173" s="189"/>
      <c r="M173" s="516"/>
      <c r="N173" s="189"/>
      <c r="R173" s="67"/>
      <c r="S173" s="67"/>
      <c r="U173" s="268"/>
      <c r="V173" s="269"/>
      <c r="W173" s="76"/>
      <c r="X173" s="189"/>
      <c r="Z173" s="516"/>
      <c r="AA173" s="189"/>
    </row>
    <row r="174" spans="8:27" x14ac:dyDescent="0.25">
      <c r="H174" s="268"/>
      <c r="I174" s="269"/>
      <c r="J174" s="74"/>
      <c r="K174" s="189"/>
      <c r="M174" s="516"/>
      <c r="N174" s="189"/>
      <c r="R174" s="67"/>
      <c r="S174" s="67"/>
      <c r="U174" s="268"/>
      <c r="V174" s="269"/>
      <c r="W174" s="76"/>
      <c r="X174" s="189"/>
      <c r="Z174" s="516"/>
      <c r="AA174" s="189"/>
    </row>
    <row r="175" spans="8:27" x14ac:dyDescent="0.25">
      <c r="H175" s="268"/>
      <c r="I175" s="269"/>
      <c r="J175" s="74"/>
      <c r="K175" s="189"/>
      <c r="M175" s="516"/>
      <c r="N175" s="189"/>
      <c r="R175" s="67"/>
      <c r="S175" s="67"/>
      <c r="U175" s="268"/>
      <c r="V175" s="269"/>
      <c r="W175" s="76"/>
      <c r="X175" s="189"/>
      <c r="Z175" s="516"/>
      <c r="AA175" s="189"/>
    </row>
    <row r="176" spans="8:27" x14ac:dyDescent="0.25">
      <c r="H176" s="268"/>
      <c r="I176" s="269"/>
      <c r="J176" s="74"/>
      <c r="K176" s="189"/>
      <c r="M176" s="516"/>
      <c r="N176" s="189"/>
      <c r="R176" s="67"/>
      <c r="S176" s="67"/>
      <c r="U176" s="268"/>
      <c r="V176" s="269"/>
      <c r="W176" s="76"/>
      <c r="X176" s="189"/>
      <c r="Z176" s="516"/>
      <c r="AA176" s="189"/>
    </row>
    <row r="177" spans="8:27" x14ac:dyDescent="0.25">
      <c r="H177" s="268"/>
      <c r="I177" s="269"/>
      <c r="J177" s="74"/>
      <c r="K177" s="189"/>
      <c r="M177" s="516"/>
      <c r="N177" s="189"/>
      <c r="R177" s="67"/>
      <c r="S177" s="67"/>
      <c r="U177" s="268"/>
      <c r="V177" s="269"/>
      <c r="W177" s="76"/>
      <c r="X177" s="189"/>
      <c r="Z177" s="516"/>
      <c r="AA177" s="189"/>
    </row>
    <row r="178" spans="8:27" x14ac:dyDescent="0.25">
      <c r="H178" s="268"/>
      <c r="I178" s="269"/>
      <c r="J178" s="74"/>
      <c r="K178" s="189"/>
      <c r="M178" s="516"/>
      <c r="N178" s="189"/>
      <c r="R178" s="67"/>
      <c r="S178" s="67"/>
      <c r="U178" s="268"/>
      <c r="V178" s="269"/>
      <c r="W178" s="76"/>
      <c r="X178" s="189"/>
      <c r="Z178" s="516"/>
      <c r="AA178" s="189"/>
    </row>
    <row r="179" spans="8:27" x14ac:dyDescent="0.25">
      <c r="H179" s="268"/>
      <c r="I179" s="269"/>
      <c r="J179" s="74"/>
      <c r="K179" s="189"/>
      <c r="M179" s="516"/>
      <c r="N179" s="189"/>
      <c r="R179" s="67"/>
      <c r="S179" s="67"/>
      <c r="U179" s="268"/>
      <c r="V179" s="269"/>
      <c r="W179" s="76"/>
      <c r="X179" s="189"/>
      <c r="Z179" s="516"/>
      <c r="AA179" s="189"/>
    </row>
    <row r="180" spans="8:27" x14ac:dyDescent="0.25">
      <c r="H180" s="268"/>
      <c r="I180" s="269"/>
      <c r="J180" s="74"/>
      <c r="K180" s="189"/>
      <c r="M180" s="516"/>
      <c r="N180" s="189"/>
      <c r="R180" s="67"/>
      <c r="S180" s="67"/>
      <c r="U180" s="268"/>
      <c r="V180" s="269"/>
      <c r="W180" s="76"/>
      <c r="X180" s="189"/>
      <c r="Z180" s="516"/>
      <c r="AA180" s="189"/>
    </row>
    <row r="181" spans="8:27" x14ac:dyDescent="0.25">
      <c r="H181" s="268"/>
      <c r="I181" s="269"/>
      <c r="J181" s="74"/>
      <c r="K181" s="189"/>
      <c r="M181" s="516"/>
      <c r="N181" s="189"/>
      <c r="R181" s="67"/>
      <c r="S181" s="67"/>
      <c r="U181" s="268"/>
      <c r="V181" s="269"/>
      <c r="W181" s="76"/>
      <c r="X181" s="189"/>
      <c r="Z181" s="516"/>
      <c r="AA181" s="189"/>
    </row>
    <row r="182" spans="8:27" x14ac:dyDescent="0.25">
      <c r="H182" s="268"/>
      <c r="I182" s="269"/>
      <c r="J182" s="74"/>
      <c r="K182" s="189"/>
      <c r="M182" s="516"/>
      <c r="N182" s="189"/>
      <c r="R182" s="67"/>
      <c r="S182" s="67"/>
      <c r="T182" s="176"/>
      <c r="U182" s="268"/>
      <c r="V182" s="269"/>
      <c r="W182" s="76"/>
      <c r="X182" s="189"/>
      <c r="Z182" s="516"/>
      <c r="AA182" s="189"/>
    </row>
    <row r="183" spans="8:27" x14ac:dyDescent="0.25">
      <c r="H183" s="268"/>
      <c r="I183" s="269"/>
      <c r="J183" s="74"/>
      <c r="K183" s="189"/>
      <c r="M183" s="516"/>
      <c r="N183" s="189"/>
      <c r="R183" s="67"/>
      <c r="S183" s="67"/>
      <c r="T183" s="176"/>
      <c r="U183" s="268"/>
      <c r="V183" s="269"/>
      <c r="W183" s="76"/>
      <c r="X183" s="189"/>
      <c r="Z183" s="516"/>
      <c r="AA183" s="189"/>
    </row>
    <row r="184" spans="8:27" x14ac:dyDescent="0.25">
      <c r="H184" s="268"/>
      <c r="I184" s="269"/>
      <c r="J184" s="74"/>
      <c r="K184" s="189"/>
      <c r="M184" s="516"/>
      <c r="N184" s="189"/>
      <c r="R184" s="67"/>
      <c r="S184" s="67"/>
      <c r="T184" s="176"/>
      <c r="U184" s="268"/>
      <c r="V184" s="269"/>
      <c r="W184" s="76"/>
      <c r="X184" s="189"/>
      <c r="Z184" s="516"/>
      <c r="AA184" s="189"/>
    </row>
    <row r="185" spans="8:27" x14ac:dyDescent="0.25">
      <c r="H185" s="268"/>
      <c r="I185" s="269"/>
      <c r="J185" s="74"/>
      <c r="K185" s="189"/>
      <c r="M185" s="516"/>
      <c r="N185" s="189"/>
      <c r="R185" s="67"/>
      <c r="S185" s="67"/>
      <c r="T185" s="176"/>
      <c r="U185" s="268"/>
      <c r="V185" s="269"/>
      <c r="W185" s="76"/>
      <c r="X185" s="189"/>
      <c r="Z185" s="516"/>
      <c r="AA185" s="189"/>
    </row>
    <row r="186" spans="8:27" x14ac:dyDescent="0.25">
      <c r="H186" s="268"/>
      <c r="I186" s="269"/>
      <c r="J186" s="74"/>
      <c r="K186" s="189"/>
      <c r="M186" s="516"/>
      <c r="N186" s="189"/>
      <c r="R186" s="67"/>
      <c r="S186" s="512"/>
      <c r="T186" s="176"/>
      <c r="U186" s="268"/>
      <c r="V186" s="269"/>
      <c r="W186" s="76"/>
      <c r="X186" s="189"/>
      <c r="Z186" s="516"/>
      <c r="AA186" s="189"/>
    </row>
    <row r="187" spans="8:27" x14ac:dyDescent="0.25">
      <c r="H187" s="268"/>
      <c r="I187" s="269"/>
      <c r="J187" s="74"/>
      <c r="K187" s="189"/>
      <c r="M187" s="516"/>
      <c r="N187" s="189"/>
      <c r="R187" s="67"/>
      <c r="S187" s="512"/>
      <c r="T187" s="176"/>
      <c r="U187" s="268"/>
      <c r="V187" s="269"/>
      <c r="W187" s="76"/>
      <c r="X187" s="189"/>
      <c r="Z187" s="516"/>
      <c r="AA187" s="189"/>
    </row>
    <row r="188" spans="8:27" x14ac:dyDescent="0.25">
      <c r="H188" s="268"/>
      <c r="I188" s="269"/>
      <c r="J188" s="74"/>
      <c r="K188" s="189"/>
      <c r="M188" s="516"/>
      <c r="N188" s="189"/>
      <c r="R188" s="67"/>
      <c r="S188" s="512"/>
      <c r="T188" s="177"/>
      <c r="U188" s="268"/>
      <c r="V188" s="269"/>
      <c r="W188" s="76"/>
      <c r="X188" s="189"/>
      <c r="Z188" s="516"/>
      <c r="AA188" s="189"/>
    </row>
    <row r="189" spans="8:27" x14ac:dyDescent="0.25">
      <c r="H189" s="268"/>
      <c r="I189" s="269"/>
      <c r="J189" s="74"/>
      <c r="K189" s="189"/>
      <c r="M189" s="516"/>
      <c r="N189" s="189"/>
      <c r="R189" s="67"/>
      <c r="S189" s="512"/>
      <c r="T189" s="177"/>
      <c r="U189" s="268"/>
      <c r="V189" s="269"/>
      <c r="W189" s="76"/>
      <c r="X189" s="189"/>
      <c r="Z189" s="516"/>
      <c r="AA189" s="189"/>
    </row>
    <row r="190" spans="8:27" x14ac:dyDescent="0.25">
      <c r="H190" s="268"/>
      <c r="I190" s="269"/>
      <c r="J190" s="74"/>
      <c r="K190" s="189"/>
      <c r="M190" s="516"/>
      <c r="N190" s="189"/>
      <c r="R190" s="67"/>
      <c r="S190" s="512"/>
      <c r="T190" s="177"/>
      <c r="U190" s="268"/>
      <c r="V190" s="269"/>
      <c r="W190" s="76"/>
      <c r="X190" s="189"/>
      <c r="Z190" s="516"/>
      <c r="AA190" s="189"/>
    </row>
    <row r="191" spans="8:27" x14ac:dyDescent="0.25">
      <c r="H191" s="268"/>
      <c r="I191" s="269"/>
      <c r="J191" s="74"/>
      <c r="K191" s="189"/>
      <c r="M191" s="516"/>
      <c r="N191" s="189"/>
      <c r="R191" s="67"/>
      <c r="S191" s="512"/>
      <c r="T191" s="177"/>
      <c r="U191" s="268"/>
      <c r="V191" s="269"/>
      <c r="W191" s="76"/>
      <c r="X191" s="189"/>
      <c r="Z191" s="516"/>
      <c r="AA191" s="189"/>
    </row>
    <row r="192" spans="8:27" x14ac:dyDescent="0.25">
      <c r="H192" s="268"/>
      <c r="I192" s="269"/>
      <c r="J192" s="74"/>
      <c r="K192" s="189"/>
      <c r="M192" s="516"/>
      <c r="N192" s="189"/>
      <c r="R192" s="67"/>
      <c r="S192" s="512"/>
      <c r="T192" s="177"/>
      <c r="U192" s="268"/>
      <c r="V192" s="269"/>
      <c r="W192" s="76"/>
      <c r="X192" s="189"/>
      <c r="Z192" s="516"/>
      <c r="AA192" s="189"/>
    </row>
    <row r="193" spans="8:27" x14ac:dyDescent="0.25">
      <c r="H193" s="268"/>
      <c r="I193" s="269"/>
      <c r="J193" s="74"/>
      <c r="K193" s="189"/>
      <c r="M193" s="516"/>
      <c r="N193" s="189"/>
      <c r="R193" s="67"/>
      <c r="S193" s="512"/>
      <c r="T193" s="177"/>
      <c r="U193" s="268"/>
      <c r="V193" s="269"/>
      <c r="W193" s="76"/>
      <c r="X193" s="189"/>
      <c r="Z193" s="516"/>
      <c r="AA193" s="189"/>
    </row>
    <row r="194" spans="8:27" x14ac:dyDescent="0.25">
      <c r="H194" s="268"/>
      <c r="I194" s="269"/>
      <c r="J194" s="74"/>
      <c r="K194" s="189"/>
      <c r="M194" s="516"/>
      <c r="N194" s="189"/>
      <c r="R194" s="67"/>
      <c r="S194" s="512"/>
      <c r="T194" s="177"/>
      <c r="U194" s="268"/>
      <c r="V194" s="269"/>
      <c r="W194" s="76"/>
      <c r="X194" s="189"/>
      <c r="Z194" s="516"/>
      <c r="AA194" s="189"/>
    </row>
    <row r="195" spans="8:27" x14ac:dyDescent="0.25">
      <c r="H195" s="268"/>
      <c r="I195" s="269"/>
      <c r="J195" s="74"/>
      <c r="K195" s="189"/>
      <c r="M195" s="516"/>
      <c r="N195" s="189"/>
      <c r="R195" s="67"/>
      <c r="S195" s="512"/>
      <c r="T195" s="177"/>
      <c r="U195" s="268"/>
      <c r="V195" s="269"/>
      <c r="W195" s="76"/>
      <c r="X195" s="189"/>
      <c r="Z195" s="516"/>
      <c r="AA195" s="189"/>
    </row>
    <row r="196" spans="8:27" x14ac:dyDescent="0.25">
      <c r="H196" s="268"/>
      <c r="I196" s="269"/>
      <c r="J196" s="74"/>
      <c r="K196" s="189"/>
      <c r="M196" s="516"/>
      <c r="N196" s="189"/>
      <c r="R196" s="67"/>
      <c r="S196" s="512"/>
      <c r="T196" s="177"/>
      <c r="U196" s="268"/>
      <c r="V196" s="269"/>
      <c r="W196" s="76"/>
      <c r="X196" s="189"/>
      <c r="Z196" s="516"/>
      <c r="AA196" s="189"/>
    </row>
    <row r="197" spans="8:27" x14ac:dyDescent="0.25">
      <c r="H197" s="268"/>
      <c r="I197" s="269"/>
      <c r="J197" s="74"/>
      <c r="K197" s="189"/>
      <c r="M197" s="516"/>
      <c r="N197" s="189"/>
      <c r="R197" s="67"/>
      <c r="S197" s="512"/>
      <c r="T197" s="177"/>
      <c r="U197" s="268"/>
      <c r="V197" s="269"/>
      <c r="W197" s="76"/>
      <c r="X197" s="189"/>
      <c r="Z197" s="516"/>
      <c r="AA197" s="189"/>
    </row>
    <row r="198" spans="8:27" x14ac:dyDescent="0.25">
      <c r="H198" s="268"/>
      <c r="I198" s="269"/>
      <c r="J198" s="74"/>
      <c r="K198" s="189"/>
      <c r="M198" s="516"/>
      <c r="N198" s="189"/>
      <c r="R198" s="67"/>
      <c r="S198" s="512"/>
      <c r="T198" s="177"/>
      <c r="U198" s="268"/>
      <c r="V198" s="269"/>
      <c r="W198" s="76"/>
      <c r="X198" s="189"/>
      <c r="Z198" s="516"/>
      <c r="AA198" s="189"/>
    </row>
    <row r="199" spans="8:27" x14ac:dyDescent="0.25">
      <c r="H199" s="268"/>
      <c r="I199" s="269"/>
      <c r="J199" s="74"/>
      <c r="K199" s="189"/>
      <c r="M199" s="516"/>
      <c r="N199" s="189"/>
      <c r="R199" s="67"/>
      <c r="S199" s="512"/>
      <c r="T199" s="177"/>
      <c r="U199" s="268"/>
      <c r="V199" s="269"/>
      <c r="W199" s="76"/>
      <c r="X199" s="189"/>
      <c r="Z199" s="516"/>
      <c r="AA199" s="189"/>
    </row>
    <row r="200" spans="8:27" x14ac:dyDescent="0.25">
      <c r="H200" s="268"/>
      <c r="I200" s="269"/>
      <c r="J200" s="74"/>
      <c r="K200" s="189"/>
      <c r="M200" s="516"/>
      <c r="N200" s="189"/>
      <c r="R200" s="67"/>
      <c r="S200" s="512"/>
      <c r="T200" s="177"/>
      <c r="U200" s="268"/>
      <c r="V200" s="269"/>
      <c r="W200" s="76"/>
      <c r="X200" s="189"/>
      <c r="Z200" s="516"/>
      <c r="AA200" s="189"/>
    </row>
    <row r="201" spans="8:27" x14ac:dyDescent="0.25">
      <c r="H201" s="268"/>
      <c r="I201" s="269"/>
      <c r="J201" s="74"/>
      <c r="K201" s="189"/>
      <c r="M201" s="516"/>
      <c r="N201" s="189"/>
      <c r="R201" s="67"/>
      <c r="S201" s="512"/>
      <c r="T201" s="177"/>
      <c r="U201" s="268"/>
      <c r="V201" s="269"/>
      <c r="W201" s="76"/>
      <c r="X201" s="189"/>
      <c r="Z201" s="516"/>
      <c r="AA201" s="189"/>
    </row>
    <row r="202" spans="8:27" x14ac:dyDescent="0.25">
      <c r="H202" s="268"/>
      <c r="I202" s="269"/>
      <c r="J202" s="74"/>
      <c r="K202" s="189"/>
      <c r="M202" s="516"/>
      <c r="N202" s="189"/>
      <c r="R202" s="67"/>
      <c r="S202" s="512"/>
      <c r="T202" s="177"/>
      <c r="U202" s="268"/>
      <c r="V202" s="269"/>
      <c r="W202" s="76"/>
      <c r="X202" s="189"/>
      <c r="Z202" s="516"/>
      <c r="AA202" s="189"/>
    </row>
    <row r="203" spans="8:27" x14ac:dyDescent="0.25">
      <c r="H203" s="268"/>
      <c r="I203" s="269"/>
      <c r="J203" s="74"/>
      <c r="K203" s="189"/>
      <c r="M203" s="516"/>
      <c r="N203" s="189"/>
      <c r="R203" s="67"/>
      <c r="S203" s="512"/>
      <c r="T203" s="177"/>
      <c r="U203" s="268"/>
      <c r="V203" s="269"/>
      <c r="W203" s="76"/>
      <c r="X203" s="189"/>
      <c r="Z203" s="516"/>
      <c r="AA203" s="189"/>
    </row>
    <row r="204" spans="8:27" x14ac:dyDescent="0.25">
      <c r="H204" s="268"/>
      <c r="I204" s="269"/>
      <c r="J204" s="74"/>
      <c r="K204" s="189"/>
      <c r="M204" s="516"/>
      <c r="N204" s="189"/>
      <c r="R204" s="67"/>
      <c r="S204" s="512"/>
      <c r="T204" s="177"/>
      <c r="U204" s="268"/>
      <c r="V204" s="269"/>
      <c r="W204" s="76"/>
      <c r="X204" s="189"/>
      <c r="Z204" s="516"/>
      <c r="AA204" s="189"/>
    </row>
    <row r="205" spans="8:27" x14ac:dyDescent="0.25">
      <c r="H205" s="268"/>
      <c r="I205" s="269"/>
      <c r="J205" s="74"/>
      <c r="K205" s="189"/>
      <c r="M205" s="516"/>
      <c r="N205" s="189"/>
      <c r="R205" s="67"/>
      <c r="S205" s="512"/>
      <c r="T205" s="177"/>
      <c r="U205" s="268"/>
      <c r="V205" s="269"/>
      <c r="W205" s="76"/>
      <c r="X205" s="189"/>
      <c r="Z205" s="516"/>
      <c r="AA205" s="189"/>
    </row>
    <row r="206" spans="8:27" x14ac:dyDescent="0.25">
      <c r="H206" s="268"/>
      <c r="I206" s="269"/>
      <c r="J206" s="74"/>
      <c r="K206" s="189"/>
      <c r="M206" s="516"/>
      <c r="N206" s="189"/>
      <c r="R206" s="67"/>
      <c r="S206" s="512"/>
      <c r="T206" s="177"/>
      <c r="U206" s="268"/>
      <c r="V206" s="269"/>
      <c r="W206" s="76"/>
      <c r="X206" s="189"/>
      <c r="Z206" s="516"/>
      <c r="AA206" s="189"/>
    </row>
    <row r="207" spans="8:27" x14ac:dyDescent="0.25">
      <c r="H207" s="268"/>
      <c r="I207" s="269"/>
      <c r="J207" s="74"/>
      <c r="K207" s="189"/>
      <c r="M207" s="516"/>
      <c r="N207" s="189"/>
      <c r="R207" s="67"/>
      <c r="S207" s="512"/>
      <c r="T207" s="177"/>
      <c r="U207" s="268"/>
      <c r="V207" s="269"/>
      <c r="W207" s="76"/>
      <c r="X207" s="189"/>
      <c r="Z207" s="516"/>
      <c r="AA207" s="189"/>
    </row>
    <row r="208" spans="8:27" x14ac:dyDescent="0.25">
      <c r="H208" s="268"/>
      <c r="I208" s="269"/>
      <c r="J208" s="74"/>
      <c r="K208" s="189"/>
      <c r="M208" s="516"/>
      <c r="N208" s="189"/>
      <c r="R208" s="67"/>
      <c r="S208" s="512"/>
      <c r="T208" s="177"/>
      <c r="U208" s="268"/>
      <c r="V208" s="269"/>
      <c r="W208" s="76"/>
      <c r="X208" s="189"/>
      <c r="Z208" s="516"/>
      <c r="AA208" s="189"/>
    </row>
    <row r="209" spans="8:27" x14ac:dyDescent="0.25">
      <c r="H209" s="268"/>
      <c r="I209" s="269"/>
      <c r="J209" s="74"/>
      <c r="K209" s="189"/>
      <c r="M209" s="516"/>
      <c r="N209" s="189"/>
      <c r="R209" s="67"/>
      <c r="S209" s="512"/>
      <c r="T209" s="177"/>
      <c r="U209" s="268"/>
      <c r="V209" s="269"/>
      <c r="W209" s="76"/>
      <c r="X209" s="189"/>
      <c r="Z209" s="516"/>
      <c r="AA209" s="189"/>
    </row>
    <row r="210" spans="8:27" x14ac:dyDescent="0.25">
      <c r="H210" s="268"/>
      <c r="I210" s="269"/>
      <c r="J210" s="74"/>
      <c r="K210" s="189"/>
      <c r="M210" s="516"/>
      <c r="N210" s="189"/>
      <c r="R210" s="67"/>
      <c r="S210" s="512"/>
      <c r="T210" s="177"/>
      <c r="U210" s="268"/>
      <c r="V210" s="269"/>
      <c r="W210" s="76"/>
      <c r="X210" s="189"/>
      <c r="Z210" s="516"/>
      <c r="AA210" s="189"/>
    </row>
    <row r="211" spans="8:27" x14ac:dyDescent="0.25">
      <c r="H211" s="268"/>
      <c r="I211" s="269"/>
      <c r="J211" s="74"/>
      <c r="K211" s="189"/>
      <c r="M211" s="516"/>
      <c r="N211" s="189"/>
      <c r="R211" s="67"/>
      <c r="S211" s="512"/>
      <c r="T211" s="177"/>
      <c r="U211" s="268"/>
      <c r="V211" s="269"/>
      <c r="W211" s="76"/>
      <c r="X211" s="189"/>
      <c r="Z211" s="516"/>
      <c r="AA211" s="189"/>
    </row>
    <row r="212" spans="8:27" x14ac:dyDescent="0.25">
      <c r="H212" s="268"/>
      <c r="I212" s="269"/>
      <c r="J212" s="74"/>
      <c r="K212" s="189"/>
      <c r="M212" s="516"/>
      <c r="N212" s="189"/>
      <c r="R212" s="67"/>
      <c r="S212" s="512"/>
      <c r="T212" s="177"/>
      <c r="U212" s="268"/>
      <c r="V212" s="269"/>
      <c r="W212" s="76"/>
      <c r="X212" s="189"/>
      <c r="Z212" s="516"/>
      <c r="AA212" s="189"/>
    </row>
    <row r="213" spans="8:27" x14ac:dyDescent="0.25">
      <c r="H213" s="268"/>
      <c r="I213" s="269"/>
      <c r="J213" s="74"/>
      <c r="K213" s="189"/>
      <c r="M213" s="516"/>
      <c r="N213" s="189"/>
      <c r="R213" s="67"/>
      <c r="S213" s="512"/>
      <c r="T213" s="177"/>
      <c r="U213" s="268"/>
      <c r="V213" s="269"/>
      <c r="W213" s="76"/>
      <c r="X213" s="189"/>
      <c r="Z213" s="516"/>
      <c r="AA213" s="189"/>
    </row>
    <row r="214" spans="8:27" x14ac:dyDescent="0.25">
      <c r="H214" s="268"/>
      <c r="I214" s="269"/>
      <c r="J214" s="74"/>
      <c r="K214" s="189"/>
      <c r="M214" s="516"/>
      <c r="N214" s="189"/>
      <c r="R214" s="67"/>
      <c r="S214" s="512"/>
      <c r="T214" s="177"/>
      <c r="U214" s="268"/>
      <c r="V214" s="269"/>
      <c r="W214" s="76"/>
      <c r="X214" s="189"/>
      <c r="Z214" s="516"/>
      <c r="AA214" s="189"/>
    </row>
    <row r="215" spans="8:27" x14ac:dyDescent="0.25">
      <c r="H215" s="268"/>
      <c r="I215" s="269"/>
      <c r="J215" s="74"/>
      <c r="K215" s="189"/>
      <c r="M215" s="516"/>
      <c r="N215" s="189"/>
      <c r="R215" s="67"/>
      <c r="S215" s="512"/>
      <c r="T215" s="177"/>
      <c r="U215" s="268"/>
      <c r="V215" s="269"/>
      <c r="W215" s="76"/>
      <c r="X215" s="189"/>
      <c r="Z215" s="516"/>
      <c r="AA215" s="189"/>
    </row>
    <row r="216" spans="8:27" x14ac:dyDescent="0.25">
      <c r="H216" s="268"/>
      <c r="I216" s="269"/>
      <c r="J216" s="74"/>
      <c r="K216" s="189"/>
      <c r="M216" s="516"/>
      <c r="N216" s="189"/>
      <c r="R216" s="67"/>
      <c r="S216" s="512"/>
      <c r="T216" s="177"/>
      <c r="U216" s="268"/>
      <c r="V216" s="269"/>
      <c r="W216" s="76"/>
      <c r="X216" s="189"/>
      <c r="Z216" s="516"/>
      <c r="AA216" s="189"/>
    </row>
    <row r="217" spans="8:27" x14ac:dyDescent="0.25">
      <c r="H217" s="268"/>
      <c r="I217" s="269"/>
      <c r="J217" s="74"/>
      <c r="K217" s="189"/>
      <c r="M217" s="516"/>
      <c r="N217" s="189"/>
      <c r="R217" s="67"/>
      <c r="S217" s="512"/>
      <c r="T217" s="177"/>
      <c r="U217" s="268"/>
      <c r="V217" s="269"/>
      <c r="W217" s="76"/>
      <c r="X217" s="189"/>
      <c r="Z217" s="516"/>
      <c r="AA217" s="189"/>
    </row>
    <row r="218" spans="8:27" x14ac:dyDescent="0.25">
      <c r="H218" s="268"/>
      <c r="I218" s="269"/>
      <c r="J218" s="74"/>
      <c r="K218" s="189"/>
      <c r="M218" s="516"/>
      <c r="N218" s="189"/>
      <c r="R218" s="67"/>
      <c r="S218" s="512"/>
      <c r="T218" s="177"/>
      <c r="U218" s="268"/>
      <c r="V218" s="269"/>
      <c r="W218" s="76"/>
      <c r="X218" s="189"/>
      <c r="Z218" s="516"/>
      <c r="AA218" s="189"/>
    </row>
    <row r="219" spans="8:27" x14ac:dyDescent="0.25">
      <c r="H219" s="268"/>
      <c r="I219" s="269"/>
      <c r="J219" s="74"/>
      <c r="K219" s="189"/>
      <c r="M219" s="516"/>
      <c r="N219" s="189"/>
      <c r="R219" s="67"/>
      <c r="S219" s="512"/>
      <c r="T219" s="177"/>
      <c r="U219" s="268"/>
      <c r="V219" s="269"/>
      <c r="W219" s="76"/>
      <c r="X219" s="189"/>
      <c r="Z219" s="516"/>
      <c r="AA219" s="189"/>
    </row>
    <row r="220" spans="8:27" x14ac:dyDescent="0.25">
      <c r="H220" s="268"/>
      <c r="I220" s="269"/>
      <c r="J220" s="74"/>
      <c r="K220" s="189"/>
      <c r="M220" s="516"/>
      <c r="N220" s="189"/>
      <c r="R220" s="67"/>
      <c r="S220" s="512"/>
      <c r="T220" s="177"/>
      <c r="U220" s="268"/>
      <c r="V220" s="269"/>
      <c r="W220" s="76"/>
      <c r="X220" s="189"/>
      <c r="Z220" s="516"/>
      <c r="AA220" s="189"/>
    </row>
    <row r="221" spans="8:27" x14ac:dyDescent="0.25">
      <c r="H221" s="268"/>
      <c r="I221" s="269"/>
      <c r="J221" s="74"/>
      <c r="K221" s="189"/>
      <c r="M221" s="516"/>
      <c r="N221" s="189"/>
      <c r="R221" s="67"/>
      <c r="S221" s="512"/>
      <c r="T221" s="177"/>
      <c r="U221" s="268"/>
      <c r="V221" s="269"/>
      <c r="W221" s="76"/>
      <c r="X221" s="189"/>
      <c r="Z221" s="516"/>
      <c r="AA221" s="189"/>
    </row>
    <row r="222" spans="8:27" x14ac:dyDescent="0.25">
      <c r="H222" s="268"/>
      <c r="I222" s="269"/>
      <c r="J222" s="74"/>
      <c r="K222" s="189"/>
      <c r="M222" s="516"/>
      <c r="N222" s="189"/>
      <c r="R222" s="67"/>
      <c r="S222" s="512"/>
      <c r="T222" s="177"/>
      <c r="U222" s="268"/>
      <c r="V222" s="269"/>
      <c r="W222" s="76"/>
      <c r="X222" s="189"/>
      <c r="Z222" s="516"/>
      <c r="AA222" s="189"/>
    </row>
    <row r="223" spans="8:27" x14ac:dyDescent="0.25">
      <c r="H223" s="268"/>
      <c r="I223" s="269"/>
      <c r="J223" s="74"/>
      <c r="K223" s="189"/>
      <c r="M223" s="516"/>
      <c r="N223" s="189"/>
      <c r="R223" s="67"/>
      <c r="S223" s="512"/>
      <c r="T223" s="177"/>
      <c r="U223" s="268"/>
      <c r="V223" s="269"/>
      <c r="W223" s="76"/>
      <c r="X223" s="189"/>
      <c r="Z223" s="516"/>
      <c r="AA223" s="189"/>
    </row>
    <row r="224" spans="8:27" x14ac:dyDescent="0.25">
      <c r="H224" s="268"/>
      <c r="I224" s="269"/>
      <c r="J224" s="74"/>
      <c r="K224" s="189"/>
      <c r="M224" s="516"/>
      <c r="N224" s="189"/>
      <c r="R224" s="67"/>
      <c r="S224" s="512"/>
      <c r="T224" s="177"/>
      <c r="U224" s="268"/>
      <c r="V224" s="269"/>
      <c r="W224" s="76"/>
      <c r="X224" s="189"/>
      <c r="Z224" s="516"/>
      <c r="AA224" s="189"/>
    </row>
    <row r="225" spans="8:27" x14ac:dyDescent="0.25">
      <c r="H225" s="268"/>
      <c r="I225" s="269"/>
      <c r="J225" s="74"/>
      <c r="K225" s="189"/>
      <c r="R225" s="67"/>
      <c r="S225" s="512"/>
      <c r="T225" s="177"/>
      <c r="U225" s="268"/>
      <c r="V225" s="269"/>
      <c r="W225" s="76"/>
      <c r="X225" s="189"/>
      <c r="Z225" s="516"/>
      <c r="AA225" s="189"/>
    </row>
    <row r="226" spans="8:27" x14ac:dyDescent="0.25">
      <c r="H226" s="268"/>
      <c r="I226" s="269"/>
      <c r="J226" s="74"/>
      <c r="K226" s="189"/>
      <c r="R226" s="67"/>
      <c r="S226" s="512"/>
      <c r="T226" s="177"/>
      <c r="U226" s="268"/>
      <c r="V226" s="269"/>
      <c r="W226" s="76"/>
      <c r="X226" s="189"/>
      <c r="Z226" s="516"/>
      <c r="AA226" s="189"/>
    </row>
    <row r="227" spans="8:27" x14ac:dyDescent="0.25">
      <c r="H227" s="268"/>
      <c r="I227" s="269"/>
      <c r="J227" s="74"/>
      <c r="K227" s="189"/>
      <c r="R227" s="67"/>
      <c r="S227" s="512"/>
      <c r="T227" s="177"/>
      <c r="U227" s="268"/>
      <c r="V227" s="269"/>
      <c r="W227" s="76"/>
      <c r="X227" s="189"/>
      <c r="Z227" s="516"/>
      <c r="AA227" s="189"/>
    </row>
    <row r="228" spans="8:27" x14ac:dyDescent="0.25">
      <c r="H228" s="268"/>
      <c r="I228" s="269"/>
      <c r="J228" s="74"/>
      <c r="K228" s="189"/>
      <c r="R228" s="67"/>
      <c r="S228" s="512"/>
      <c r="T228" s="177"/>
      <c r="U228" s="268"/>
      <c r="V228" s="269"/>
      <c r="W228" s="76"/>
      <c r="X228" s="189"/>
      <c r="Z228" s="516"/>
      <c r="AA228" s="189"/>
    </row>
    <row r="229" spans="8:27" x14ac:dyDescent="0.25">
      <c r="R229" s="67"/>
      <c r="S229" s="512"/>
      <c r="T229" s="177"/>
      <c r="U229" s="268"/>
      <c r="V229" s="269"/>
      <c r="W229" s="76"/>
      <c r="X229" s="189"/>
      <c r="Z229" s="516"/>
      <c r="AA229" s="189"/>
    </row>
    <row r="230" spans="8:27" x14ac:dyDescent="0.25">
      <c r="R230" s="67"/>
      <c r="S230" s="512"/>
      <c r="T230" s="177"/>
      <c r="U230" s="268"/>
      <c r="V230" s="269"/>
      <c r="W230" s="76"/>
      <c r="X230" s="189"/>
      <c r="Z230" s="516"/>
      <c r="AA230" s="189"/>
    </row>
    <row r="231" spans="8:27" x14ac:dyDescent="0.25">
      <c r="S231" s="108"/>
      <c r="T231" s="177"/>
      <c r="U231" s="268"/>
      <c r="V231" s="269"/>
      <c r="W231" s="76"/>
      <c r="X231" s="189"/>
      <c r="Z231" s="516"/>
      <c r="AA231" s="189"/>
    </row>
    <row r="232" spans="8:27" x14ac:dyDescent="0.25">
      <c r="S232" s="108"/>
      <c r="T232" s="177"/>
      <c r="U232" s="268"/>
      <c r="V232" s="269"/>
      <c r="W232" s="76"/>
      <c r="X232" s="189"/>
      <c r="Z232" s="516"/>
      <c r="AA232" s="189"/>
    </row>
    <row r="233" spans="8:27" x14ac:dyDescent="0.25">
      <c r="T233" s="177"/>
      <c r="U233" s="268"/>
      <c r="V233" s="269"/>
      <c r="W233" s="76"/>
      <c r="X233" s="189"/>
    </row>
    <row r="234" spans="8:27" x14ac:dyDescent="0.25">
      <c r="T234" s="177"/>
    </row>
  </sheetData>
  <customSheetViews>
    <customSheetView guid="{CE2035FC-ABA8-4AF4-8A93-1868391FA6C4}" scale="80" showGridLines="0" fitToPage="1" hiddenRows="1" topLeftCell="AJ4">
      <selection activeCell="AU18" sqref="AU18"/>
      <pageMargins left="0.2" right="0.7" top="0.25" bottom="0.75" header="0.3" footer="0.3"/>
      <pageSetup scale="31" orientation="portrait" r:id="rId1"/>
    </customSheetView>
    <customSheetView guid="{7FAE1FD6-EAC8-4844-9D60-FD163C574510}" scale="80" showGridLines="0" fitToPage="1" hiddenRows="1" topLeftCell="A4">
      <selection activeCell="J16" sqref="J16"/>
      <pageMargins left="0.2" right="0.7" top="0.25" bottom="0.75" header="0.3" footer="0.3"/>
      <pageSetup scale="31" orientation="portrait" r:id="rId2"/>
    </customSheetView>
    <customSheetView guid="{E56B61DF-7D7B-44F2-8FE5-E1F110AF10C2}" scale="80" showGridLines="0" fitToPage="1" hiddenRows="1" topLeftCell="A4">
      <selection activeCell="J26" sqref="J26"/>
      <pageMargins left="0.2" right="0.7" top="0.25" bottom="0.75" header="0.3" footer="0.3"/>
      <pageSetup scale="31" orientation="portrait" r:id="rId3"/>
    </customSheetView>
  </customSheetViews>
  <mergeCells count="6">
    <mergeCell ref="BM8:CC8"/>
    <mergeCell ref="BM73:BW73"/>
    <mergeCell ref="BX73:BZ73"/>
    <mergeCell ref="CA73:CC73"/>
    <mergeCell ref="U17:V17"/>
    <mergeCell ref="U23:V23"/>
  </mergeCells>
  <phoneticPr fontId="7" type="noConversion"/>
  <conditionalFormatting sqref="S46 S48">
    <cfRule type="cellIs" dxfId="19" priority="7" stopIfTrue="1" operator="lessThan">
      <formula>0</formula>
    </cfRule>
    <cfRule type="cellIs" dxfId="18" priority="8" stopIfTrue="1" operator="greaterThan">
      <formula>0</formula>
    </cfRule>
  </conditionalFormatting>
  <conditionalFormatting sqref="R120">
    <cfRule type="cellIs" dxfId="17" priority="9" stopIfTrue="1" operator="greaterThan">
      <formula>0</formula>
    </cfRule>
    <cfRule type="cellIs" dxfId="16" priority="10" stopIfTrue="1" operator="lessThan">
      <formula>0</formula>
    </cfRule>
    <cfRule type="cellIs" dxfId="15" priority="11" stopIfTrue="1" operator="greaterThan">
      <formula>0</formula>
    </cfRule>
    <cfRule type="cellIs" dxfId="14" priority="12" stopIfTrue="1" operator="lessThan">
      <formula>0</formula>
    </cfRule>
    <cfRule type="cellIs" dxfId="13" priority="13" stopIfTrue="1" operator="greaterThan">
      <formula>0</formula>
    </cfRule>
    <cfRule type="cellIs" dxfId="12" priority="14" stopIfTrue="1" operator="lessThan">
      <formula>0</formula>
    </cfRule>
    <cfRule type="cellIs" dxfId="11" priority="15" stopIfTrue="1" operator="greaterThan">
      <formula>0</formula>
    </cfRule>
    <cfRule type="cellIs" dxfId="10" priority="16" stopIfTrue="1" operator="greaterThan">
      <formula>0</formula>
    </cfRule>
  </conditionalFormatting>
  <conditionalFormatting sqref="S46">
    <cfRule type="colorScale" priority="3">
      <colorScale>
        <cfvo type="num" val="-0.01"/>
        <cfvo type="num" val="0"/>
        <cfvo type="num" val="4.75"/>
        <color rgb="FF00B050"/>
        <color rgb="FFFFEB84"/>
        <color rgb="FFFF0000"/>
      </colorScale>
    </cfRule>
    <cfRule type="colorScale" priority="4">
      <colorScale>
        <cfvo type="min"/>
        <cfvo type="num" val="0"/>
        <cfvo type="max"/>
        <color rgb="FF00B050"/>
        <color rgb="FFFFEB84"/>
        <color rgb="FFFF0000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0:AO21">
    <cfRule type="expression" dxfId="9" priority="1">
      <formula>"""=LEFT($H$9,3)"""</formula>
    </cfRule>
    <cfRule type="iconSet" priority="2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hyperlinks>
    <hyperlink ref="H32" r:id="rId4" display="https://mbs.mysteelcms.com/status/futures_list.htm"/>
  </hyperlinks>
  <pageMargins left="0.2" right="0.7" top="0.25" bottom="0.75" header="0.3" footer="0.3"/>
  <pageSetup paperSize="9" scale="12" orientation="portrait" r:id="rId5"/>
  <drawing r:id="rId6"/>
  <legacyDrawing r:id="rId7"/>
  <controls>
    <mc:AlternateContent xmlns:mc="http://schemas.openxmlformats.org/markup-compatibility/2006">
      <mc:Choice Requires="x14">
        <control shapeId="40601349" r:id="rId8" name="Roll">
          <controlPr defaultSize="0" autoLine="0" r:id="rId9">
            <anchor moveWithCells="1">
              <from>
                <xdr:col>10</xdr:col>
                <xdr:colOff>57150</xdr:colOff>
                <xdr:row>7</xdr:row>
                <xdr:rowOff>38100</xdr:rowOff>
              </from>
              <to>
                <xdr:col>11</xdr:col>
                <xdr:colOff>38100</xdr:colOff>
                <xdr:row>9</xdr:row>
                <xdr:rowOff>0</xdr:rowOff>
              </to>
            </anchor>
          </controlPr>
        </control>
      </mc:Choice>
      <mc:Fallback>
        <control shapeId="40601349" r:id="rId8" name="Roll"/>
      </mc:Fallback>
    </mc:AlternateContent>
    <mc:AlternateContent xmlns:mc="http://schemas.openxmlformats.org/markup-compatibility/2006">
      <mc:Choice Requires="x14">
        <control shapeId="40601351" r:id="rId10" name="SpinButton1">
          <controlPr defaultSize="0" autoLine="0" r:id="rId11">
            <anchor moveWithCells="1">
              <from>
                <xdr:col>10</xdr:col>
                <xdr:colOff>123825</xdr:colOff>
                <xdr:row>10</xdr:row>
                <xdr:rowOff>0</xdr:rowOff>
              </from>
              <to>
                <xdr:col>10</xdr:col>
                <xdr:colOff>590550</xdr:colOff>
                <xdr:row>13</xdr:row>
                <xdr:rowOff>19050</xdr:rowOff>
              </to>
            </anchor>
          </controlPr>
        </control>
      </mc:Choice>
      <mc:Fallback>
        <control shapeId="40601351" r:id="rId10" name="Spin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221"/>
  <sheetViews>
    <sheetView showGridLines="0" topLeftCell="A10" workbookViewId="0">
      <selection activeCell="E20" sqref="E20"/>
    </sheetView>
  </sheetViews>
  <sheetFormatPr defaultRowHeight="15" x14ac:dyDescent="0.25"/>
  <cols>
    <col min="2" max="2" width="21.7109375" style="62" bestFit="1" customWidth="1"/>
    <col min="3" max="3" width="13.140625" style="62" bestFit="1" customWidth="1"/>
    <col min="4" max="4" width="13.140625" style="62" customWidth="1"/>
    <col min="5" max="5" width="13.140625" style="73" bestFit="1" customWidth="1"/>
    <col min="6" max="6" width="25" style="73" bestFit="1" customWidth="1"/>
  </cols>
  <sheetData>
    <row r="1" spans="2:6" x14ac:dyDescent="0.25">
      <c r="B1" s="67"/>
      <c r="C1" s="67"/>
      <c r="D1" s="67"/>
      <c r="E1" s="74"/>
      <c r="F1" s="74"/>
    </row>
    <row r="2" spans="2:6" x14ac:dyDescent="0.25">
      <c r="B2" s="178" t="s">
        <v>119</v>
      </c>
    </row>
    <row r="4" spans="2:6" x14ac:dyDescent="0.25">
      <c r="B4" s="146" t="s">
        <v>60</v>
      </c>
      <c r="C4" s="151" t="s">
        <v>61</v>
      </c>
      <c r="D4" s="139"/>
      <c r="F4" s="66"/>
    </row>
    <row r="5" spans="2:6" x14ac:dyDescent="0.25">
      <c r="B5" s="147"/>
      <c r="C5" s="152">
        <v>747</v>
      </c>
      <c r="D5" s="148"/>
      <c r="E5" s="72"/>
    </row>
    <row r="6" spans="2:6" x14ac:dyDescent="0.25">
      <c r="B6" s="140" t="s">
        <v>162</v>
      </c>
      <c r="C6" s="153" t="e">
        <f>(C14-C7)</f>
        <v>#VALUE!</v>
      </c>
      <c r="D6" s="141"/>
      <c r="E6" s="72"/>
      <c r="F6" s="83"/>
    </row>
    <row r="7" spans="2:6" x14ac:dyDescent="0.25">
      <c r="B7" s="149" t="str">
        <f>_xll.BDP("CNY Curncy","LAST_PRICE")</f>
        <v>#N/A Connection</v>
      </c>
      <c r="C7" s="309" t="e">
        <f>(C5-30)/1.13/B7/0.925</f>
        <v>#VALUE!</v>
      </c>
      <c r="D7" s="301" t="s">
        <v>156</v>
      </c>
      <c r="E7" s="300"/>
      <c r="F7" s="299"/>
    </row>
    <row r="8" spans="2:6" x14ac:dyDescent="0.25">
      <c r="B8" s="282"/>
      <c r="C8" s="283"/>
      <c r="D8" s="284"/>
      <c r="E8" s="66"/>
      <c r="F8" s="84"/>
    </row>
    <row r="9" spans="2:6" x14ac:dyDescent="0.25">
      <c r="B9" s="287" t="s">
        <v>66</v>
      </c>
      <c r="C9" s="280"/>
      <c r="D9" s="150"/>
      <c r="E9" s="72"/>
      <c r="F9" s="84"/>
    </row>
    <row r="10" spans="2:6" x14ac:dyDescent="0.25">
      <c r="B10" s="289"/>
      <c r="C10" s="295"/>
      <c r="D10" s="138"/>
      <c r="E10" s="83"/>
      <c r="F10" s="145"/>
    </row>
    <row r="11" spans="2:6" x14ac:dyDescent="0.25">
      <c r="B11" s="288" t="s">
        <v>143</v>
      </c>
      <c r="C11" s="154">
        <v>-0.3</v>
      </c>
      <c r="D11" s="138"/>
      <c r="E11" s="84"/>
    </row>
    <row r="12" spans="2:6" x14ac:dyDescent="0.25">
      <c r="B12" s="288" t="s">
        <v>272</v>
      </c>
      <c r="C12" s="154">
        <v>92.71</v>
      </c>
      <c r="D12" s="142"/>
      <c r="E12" s="84"/>
    </row>
    <row r="13" spans="2:6" x14ac:dyDescent="0.25">
      <c r="B13" s="288" t="s">
        <v>67</v>
      </c>
      <c r="C13" s="154">
        <v>88.6</v>
      </c>
      <c r="D13" s="142"/>
      <c r="E13" s="84"/>
      <c r="F13" s="84"/>
    </row>
    <row r="14" spans="2:6" x14ac:dyDescent="0.25">
      <c r="B14" s="297" t="s">
        <v>155</v>
      </c>
      <c r="C14" s="291">
        <f>(C12/61)*62</f>
        <v>94.229836065573764</v>
      </c>
      <c r="D14" s="285">
        <f>(C14-C13)</f>
        <v>5.6298360655737696</v>
      </c>
      <c r="E14" s="145"/>
    </row>
    <row r="15" spans="2:6" x14ac:dyDescent="0.25">
      <c r="B15" s="290" t="s">
        <v>142</v>
      </c>
      <c r="C15" s="292">
        <f>(C12/61.5)*62-C11</f>
        <v>93.763739837398361</v>
      </c>
      <c r="D15" s="286"/>
      <c r="E15" s="72"/>
    </row>
    <row r="16" spans="2:6" x14ac:dyDescent="0.25">
      <c r="B16" s="293"/>
      <c r="C16" s="293"/>
      <c r="D16" s="294"/>
      <c r="E16" s="72"/>
    </row>
    <row r="17" spans="2:6" x14ac:dyDescent="0.25">
      <c r="B17" s="140" t="s">
        <v>68</v>
      </c>
      <c r="C17" s="155">
        <v>544</v>
      </c>
      <c r="D17" s="138"/>
      <c r="E17" s="84"/>
    </row>
    <row r="18" spans="2:6" x14ac:dyDescent="0.25">
      <c r="B18" s="143" t="s">
        <v>69</v>
      </c>
      <c r="C18" s="156">
        <f>C17/(91%)</f>
        <v>597.80219780219784</v>
      </c>
      <c r="D18" s="142"/>
      <c r="E18" s="72"/>
    </row>
    <row r="19" spans="2:6" x14ac:dyDescent="0.25">
      <c r="B19" s="140" t="s">
        <v>113</v>
      </c>
      <c r="C19" s="157">
        <f>('predicted levels'!E46-C18)</f>
        <v>-597.80219780219784</v>
      </c>
      <c r="D19" s="138" t="s">
        <v>70</v>
      </c>
    </row>
    <row r="20" spans="2:6" x14ac:dyDescent="0.25">
      <c r="B20" s="281"/>
      <c r="C20" s="158" t="e">
        <f>(C19/B7)</f>
        <v>#VALUE!</v>
      </c>
      <c r="D20" s="144" t="s">
        <v>65</v>
      </c>
    </row>
    <row r="22" spans="2:6" x14ac:dyDescent="0.25">
      <c r="B22" s="163" t="s">
        <v>114</v>
      </c>
      <c r="C22" s="159"/>
    </row>
    <row r="23" spans="2:6" x14ac:dyDescent="0.25">
      <c r="B23" s="163" t="s">
        <v>115</v>
      </c>
      <c r="C23" s="161">
        <v>82</v>
      </c>
    </row>
    <row r="24" spans="2:6" x14ac:dyDescent="0.25">
      <c r="B24" s="164" t="s">
        <v>117</v>
      </c>
      <c r="C24" s="162">
        <v>63.33</v>
      </c>
    </row>
    <row r="25" spans="2:6" x14ac:dyDescent="0.25">
      <c r="B25" s="165" t="s">
        <v>116</v>
      </c>
      <c r="C25" s="160">
        <f>(C23)-(C24/61)*62</f>
        <v>17.631803278688523</v>
      </c>
    </row>
    <row r="26" spans="2:6" ht="15.75" thickBot="1" x14ac:dyDescent="0.3"/>
    <row r="27" spans="2:6" ht="15.75" thickBot="1" x14ac:dyDescent="0.3">
      <c r="B27" s="312"/>
      <c r="C27" s="313" t="s">
        <v>120</v>
      </c>
      <c r="D27" s="314" t="s">
        <v>59</v>
      </c>
      <c r="E27" s="314" t="s">
        <v>145</v>
      </c>
      <c r="F27" s="313" t="s">
        <v>121</v>
      </c>
    </row>
    <row r="28" spans="2:6" ht="15.75" thickBot="1" x14ac:dyDescent="0.3">
      <c r="B28" s="315">
        <v>43435</v>
      </c>
      <c r="C28" s="316"/>
      <c r="D28" s="316"/>
      <c r="E28" s="317"/>
      <c r="F28" s="318"/>
    </row>
    <row r="29" spans="2:6" ht="15.75" thickBot="1" x14ac:dyDescent="0.3">
      <c r="B29" s="315">
        <v>43436</v>
      </c>
      <c r="C29" s="316"/>
      <c r="D29" s="316"/>
      <c r="E29" s="319"/>
      <c r="F29" s="320"/>
    </row>
    <row r="30" spans="2:6" ht="15.75" thickBot="1" x14ac:dyDescent="0.3">
      <c r="B30" s="315">
        <v>43438</v>
      </c>
      <c r="C30" s="321"/>
      <c r="D30" s="321"/>
      <c r="E30" s="319"/>
      <c r="F30" s="320"/>
    </row>
    <row r="31" spans="2:6" ht="15.75" thickBot="1" x14ac:dyDescent="0.3">
      <c r="B31" s="315">
        <v>43439</v>
      </c>
      <c r="C31" s="321"/>
      <c r="D31" s="322"/>
      <c r="E31" s="319"/>
      <c r="F31" s="320"/>
    </row>
    <row r="32" spans="2:6" ht="15.75" thickBot="1" x14ac:dyDescent="0.3">
      <c r="B32" s="315">
        <v>43440</v>
      </c>
      <c r="C32" s="321"/>
      <c r="D32" s="322"/>
      <c r="E32" s="319"/>
      <c r="F32" s="320"/>
    </row>
    <row r="33" spans="2:6" ht="15.75" thickBot="1" x14ac:dyDescent="0.3">
      <c r="B33" s="315">
        <v>43441</v>
      </c>
      <c r="C33" s="321"/>
      <c r="D33" s="321"/>
      <c r="E33" s="319"/>
      <c r="F33" s="320"/>
    </row>
    <row r="34" spans="2:6" ht="15.75" thickBot="1" x14ac:dyDescent="0.3">
      <c r="B34" s="315">
        <v>43444</v>
      </c>
      <c r="C34" s="321"/>
      <c r="D34" s="321"/>
      <c r="E34" s="319"/>
      <c r="F34" s="320"/>
    </row>
    <row r="35" spans="2:6" ht="15.75" thickBot="1" x14ac:dyDescent="0.3">
      <c r="B35" s="315">
        <v>43445</v>
      </c>
      <c r="C35" s="321"/>
      <c r="D35" s="321"/>
      <c r="E35" s="319"/>
      <c r="F35" s="320"/>
    </row>
    <row r="36" spans="2:6" ht="15.75" thickBot="1" x14ac:dyDescent="0.3">
      <c r="B36" s="315">
        <v>43446</v>
      </c>
      <c r="C36" s="321"/>
      <c r="D36" s="321"/>
      <c r="E36" s="319"/>
      <c r="F36" s="320"/>
    </row>
    <row r="37" spans="2:6" ht="15.75" thickBot="1" x14ac:dyDescent="0.3">
      <c r="B37" s="315">
        <v>43447</v>
      </c>
      <c r="C37" s="321"/>
      <c r="D37" s="321"/>
      <c r="E37" s="319"/>
      <c r="F37" s="320"/>
    </row>
    <row r="38" spans="2:6" ht="15.75" thickBot="1" x14ac:dyDescent="0.3">
      <c r="B38" s="315">
        <v>43448</v>
      </c>
      <c r="C38" s="321"/>
      <c r="D38" s="321"/>
      <c r="E38" s="319"/>
      <c r="F38" s="320"/>
    </row>
    <row r="39" spans="2:6" ht="15.75" thickBot="1" x14ac:dyDescent="0.3">
      <c r="B39" s="315">
        <v>43451</v>
      </c>
      <c r="C39" s="321"/>
      <c r="D39" s="321"/>
      <c r="E39" s="319"/>
      <c r="F39" s="320"/>
    </row>
    <row r="40" spans="2:6" ht="15.75" thickBot="1" x14ac:dyDescent="0.3">
      <c r="B40" s="315">
        <v>43452</v>
      </c>
      <c r="C40" s="321"/>
      <c r="D40" s="321"/>
      <c r="E40" s="319"/>
      <c r="F40" s="320"/>
    </row>
    <row r="41" spans="2:6" ht="15.75" thickBot="1" x14ac:dyDescent="0.3">
      <c r="B41" s="315">
        <v>43453</v>
      </c>
      <c r="C41" s="321"/>
      <c r="D41" s="321"/>
      <c r="E41" s="319"/>
      <c r="F41" s="320"/>
    </row>
    <row r="42" spans="2:6" ht="15.75" thickBot="1" x14ac:dyDescent="0.3">
      <c r="B42" s="315">
        <v>43454</v>
      </c>
      <c r="C42" s="321"/>
      <c r="D42" s="321"/>
      <c r="E42" s="319"/>
      <c r="F42" s="320"/>
    </row>
    <row r="43" spans="2:6" ht="15.75" thickBot="1" x14ac:dyDescent="0.3">
      <c r="B43" s="315">
        <v>43455</v>
      </c>
      <c r="C43" s="321"/>
      <c r="D43" s="321"/>
      <c r="E43" s="319"/>
      <c r="F43" s="320"/>
    </row>
    <row r="44" spans="2:6" ht="15.75" thickBot="1" x14ac:dyDescent="0.3">
      <c r="B44" s="315">
        <v>43458</v>
      </c>
      <c r="C44" s="321"/>
      <c r="D44" s="321"/>
      <c r="E44" s="319"/>
      <c r="F44" s="320"/>
    </row>
    <row r="45" spans="2:6" ht="15.75" thickBot="1" x14ac:dyDescent="0.3">
      <c r="B45" s="315">
        <v>43459</v>
      </c>
      <c r="C45" s="321"/>
      <c r="D45" s="321"/>
      <c r="E45" s="319"/>
      <c r="F45" s="320"/>
    </row>
    <row r="46" spans="2:6" ht="15.75" thickBot="1" x14ac:dyDescent="0.3">
      <c r="B46" s="315">
        <v>43460</v>
      </c>
      <c r="C46" s="321"/>
      <c r="D46" s="321"/>
      <c r="E46" s="319"/>
      <c r="F46" s="320"/>
    </row>
    <row r="47" spans="2:6" ht="15.75" thickBot="1" x14ac:dyDescent="0.3">
      <c r="B47" s="315">
        <v>43461</v>
      </c>
      <c r="C47" s="321"/>
      <c r="D47" s="321"/>
      <c r="E47" s="319"/>
      <c r="F47" s="320"/>
    </row>
    <row r="48" spans="2:6" ht="15.75" thickBot="1" x14ac:dyDescent="0.3">
      <c r="B48" s="315">
        <v>43462</v>
      </c>
      <c r="C48" s="321"/>
      <c r="D48" s="321"/>
      <c r="E48" s="319"/>
      <c r="F48" s="323"/>
    </row>
    <row r="49" spans="2:6" ht="15.75" thickBot="1" x14ac:dyDescent="0.3">
      <c r="B49" s="315">
        <v>43465</v>
      </c>
      <c r="C49" s="322"/>
      <c r="D49" s="322"/>
      <c r="E49" s="324"/>
      <c r="F49" s="325"/>
    </row>
    <row r="50" spans="2:6" ht="15.75" thickBot="1" x14ac:dyDescent="0.3">
      <c r="B50" s="315"/>
      <c r="C50" s="326"/>
      <c r="D50" s="326"/>
      <c r="E50" s="314"/>
      <c r="F50" s="327"/>
    </row>
    <row r="51" spans="2:6" ht="15.75" thickBot="1" x14ac:dyDescent="0.3">
      <c r="B51" s="328"/>
      <c r="C51" s="326" t="e">
        <f>AVERAGE(C28:C50)</f>
        <v>#DIV/0!</v>
      </c>
      <c r="D51" s="326" t="e">
        <f>AVERAGE(D28:D48)</f>
        <v>#DIV/0!</v>
      </c>
      <c r="E51" s="326" t="e">
        <f>AVERAGE(E28:E48)</f>
        <v>#DIV/0!</v>
      </c>
      <c r="F51" s="326" t="e">
        <f>AVERAGE(F28:F48)</f>
        <v>#DIV/0!</v>
      </c>
    </row>
    <row r="52" spans="2:6" ht="15.75" thickBot="1" x14ac:dyDescent="0.3">
      <c r="B52" s="212" t="s">
        <v>168</v>
      </c>
      <c r="C52" s="213" t="e">
        <f>(D51-C51)</f>
        <v>#DIV/0!</v>
      </c>
      <c r="D52" s="214"/>
      <c r="E52" s="215"/>
      <c r="F52" s="216"/>
    </row>
    <row r="54" spans="2:6" x14ac:dyDescent="0.25">
      <c r="C54" s="70"/>
    </row>
    <row r="55" spans="2:6" x14ac:dyDescent="0.25">
      <c r="B55" s="70"/>
    </row>
    <row r="88" spans="4:4" x14ac:dyDescent="0.25">
      <c r="D88" s="62" t="s">
        <v>64</v>
      </c>
    </row>
    <row r="113" spans="2:6" x14ac:dyDescent="0.25">
      <c r="B113" s="70"/>
    </row>
    <row r="114" spans="2:6" x14ac:dyDescent="0.25">
      <c r="B114" s="70"/>
    </row>
    <row r="115" spans="2:6" x14ac:dyDescent="0.25">
      <c r="B115" s="82"/>
    </row>
    <row r="116" spans="2:6" x14ac:dyDescent="0.25">
      <c r="B116" s="86"/>
      <c r="D116" s="70"/>
      <c r="E116" s="72"/>
      <c r="F116" s="72"/>
    </row>
    <row r="117" spans="2:6" x14ac:dyDescent="0.25">
      <c r="B117" s="86"/>
      <c r="D117" s="70"/>
      <c r="E117" s="72"/>
      <c r="F117" s="72"/>
    </row>
    <row r="118" spans="2:6" x14ac:dyDescent="0.25">
      <c r="B118" s="86"/>
      <c r="D118" s="70"/>
      <c r="E118" s="72"/>
      <c r="F118" s="72"/>
    </row>
    <row r="119" spans="2:6" x14ac:dyDescent="0.25">
      <c r="B119" s="86"/>
      <c r="D119" s="70"/>
      <c r="E119" s="72"/>
      <c r="F119" s="72"/>
    </row>
    <row r="120" spans="2:6" x14ac:dyDescent="0.25">
      <c r="B120" s="86"/>
      <c r="D120" s="119"/>
      <c r="E120" s="66"/>
      <c r="F120" s="66"/>
    </row>
    <row r="121" spans="2:6" x14ac:dyDescent="0.25">
      <c r="B121" s="86"/>
      <c r="D121" s="70"/>
      <c r="E121" s="72"/>
      <c r="F121" s="72"/>
    </row>
    <row r="122" spans="2:6" x14ac:dyDescent="0.25">
      <c r="B122" s="86"/>
      <c r="D122" s="70"/>
      <c r="E122" s="72"/>
      <c r="F122" s="72"/>
    </row>
    <row r="123" spans="2:6" x14ac:dyDescent="0.25">
      <c r="B123" s="86"/>
      <c r="D123" s="66"/>
      <c r="E123" s="66"/>
      <c r="F123" s="66"/>
    </row>
    <row r="124" spans="2:6" x14ac:dyDescent="0.25">
      <c r="B124" s="86"/>
      <c r="D124" s="70"/>
      <c r="E124" s="72"/>
      <c r="F124" s="72"/>
    </row>
    <row r="125" spans="2:6" x14ac:dyDescent="0.25">
      <c r="B125" s="86"/>
      <c r="D125" s="70"/>
      <c r="E125" s="72"/>
      <c r="F125" s="72"/>
    </row>
    <row r="126" spans="2:6" x14ac:dyDescent="0.25">
      <c r="B126" s="86"/>
      <c r="D126" s="119"/>
      <c r="E126" s="66"/>
      <c r="F126" s="66"/>
    </row>
    <row r="127" spans="2:6" x14ac:dyDescent="0.25">
      <c r="B127" s="86"/>
      <c r="D127" s="70"/>
      <c r="E127" s="72"/>
      <c r="F127" s="72"/>
    </row>
    <row r="128" spans="2:6" x14ac:dyDescent="0.25">
      <c r="B128" s="86"/>
    </row>
    <row r="129" spans="2:2" x14ac:dyDescent="0.25">
      <c r="B129" s="86"/>
    </row>
    <row r="130" spans="2:2" x14ac:dyDescent="0.25">
      <c r="B130" s="86"/>
    </row>
    <row r="131" spans="2:2" x14ac:dyDescent="0.25">
      <c r="B131" s="86"/>
    </row>
    <row r="132" spans="2:2" x14ac:dyDescent="0.25">
      <c r="B132" s="86"/>
    </row>
    <row r="133" spans="2:2" x14ac:dyDescent="0.25">
      <c r="B133" s="86"/>
    </row>
    <row r="134" spans="2:2" x14ac:dyDescent="0.25">
      <c r="B134" s="86"/>
    </row>
    <row r="135" spans="2:2" x14ac:dyDescent="0.25">
      <c r="B135" s="86"/>
    </row>
    <row r="136" spans="2:2" x14ac:dyDescent="0.25">
      <c r="B136" s="86"/>
    </row>
    <row r="137" spans="2:2" x14ac:dyDescent="0.25">
      <c r="B137" s="86"/>
    </row>
    <row r="138" spans="2:2" x14ac:dyDescent="0.25">
      <c r="B138" s="86"/>
    </row>
    <row r="139" spans="2:2" x14ac:dyDescent="0.25">
      <c r="B139" s="86"/>
    </row>
    <row r="140" spans="2:2" x14ac:dyDescent="0.25">
      <c r="B140" s="70"/>
    </row>
    <row r="141" spans="2:2" x14ac:dyDescent="0.25">
      <c r="B141" s="70"/>
    </row>
    <row r="142" spans="2:2" x14ac:dyDescent="0.25">
      <c r="B142" s="70"/>
    </row>
    <row r="143" spans="2:2" x14ac:dyDescent="0.25">
      <c r="B143" s="70"/>
    </row>
    <row r="176" spans="2:3" x14ac:dyDescent="0.25">
      <c r="B176" s="108"/>
      <c r="C176" s="107"/>
    </row>
    <row r="177" spans="2:3" x14ac:dyDescent="0.25">
      <c r="B177" s="108"/>
      <c r="C177" s="107"/>
    </row>
    <row r="178" spans="2:3" x14ac:dyDescent="0.25">
      <c r="B178" s="108"/>
      <c r="C178" s="107"/>
    </row>
    <row r="179" spans="2:3" x14ac:dyDescent="0.25">
      <c r="B179" s="108"/>
      <c r="C179" s="107"/>
    </row>
    <row r="180" spans="2:3" x14ac:dyDescent="0.25">
      <c r="B180" s="108"/>
      <c r="C180" s="107"/>
    </row>
    <row r="181" spans="2:3" x14ac:dyDescent="0.25">
      <c r="B181" s="108"/>
      <c r="C181" s="107"/>
    </row>
    <row r="182" spans="2:3" x14ac:dyDescent="0.25">
      <c r="B182" s="108"/>
      <c r="C182" s="107"/>
    </row>
    <row r="183" spans="2:3" x14ac:dyDescent="0.25">
      <c r="B183" s="108"/>
      <c r="C183" s="107"/>
    </row>
    <row r="184" spans="2:3" x14ac:dyDescent="0.25">
      <c r="B184" s="108"/>
      <c r="C184" s="107"/>
    </row>
    <row r="185" spans="2:3" x14ac:dyDescent="0.25">
      <c r="B185" s="108"/>
      <c r="C185" s="107"/>
    </row>
    <row r="186" spans="2:3" x14ac:dyDescent="0.25">
      <c r="B186" s="108"/>
      <c r="C186" s="107"/>
    </row>
    <row r="187" spans="2:3" x14ac:dyDescent="0.25">
      <c r="B187" s="108"/>
      <c r="C187" s="107"/>
    </row>
    <row r="188" spans="2:3" x14ac:dyDescent="0.25">
      <c r="B188" s="108"/>
      <c r="C188" s="107"/>
    </row>
    <row r="189" spans="2:3" x14ac:dyDescent="0.25">
      <c r="B189" s="108"/>
      <c r="C189" s="107"/>
    </row>
    <row r="190" spans="2:3" x14ac:dyDescent="0.25">
      <c r="B190" s="108"/>
      <c r="C190" s="107"/>
    </row>
    <row r="191" spans="2:3" x14ac:dyDescent="0.25">
      <c r="B191" s="108"/>
      <c r="C191" s="107"/>
    </row>
    <row r="192" spans="2:3" x14ac:dyDescent="0.25">
      <c r="B192" s="108"/>
      <c r="C192" s="107"/>
    </row>
    <row r="193" spans="2:3" x14ac:dyDescent="0.25">
      <c r="B193" s="108"/>
      <c r="C193" s="107"/>
    </row>
    <row r="194" spans="2:3" x14ac:dyDescent="0.25">
      <c r="B194" s="108"/>
      <c r="C194" s="107"/>
    </row>
    <row r="195" spans="2:3" x14ac:dyDescent="0.25">
      <c r="B195" s="108"/>
      <c r="C195" s="107"/>
    </row>
    <row r="196" spans="2:3" x14ac:dyDescent="0.25">
      <c r="B196" s="108"/>
      <c r="C196" s="107"/>
    </row>
    <row r="197" spans="2:3" x14ac:dyDescent="0.25">
      <c r="B197" s="108"/>
      <c r="C197" s="107"/>
    </row>
    <row r="198" spans="2:3" x14ac:dyDescent="0.25">
      <c r="B198" s="108"/>
      <c r="C198" s="107"/>
    </row>
    <row r="199" spans="2:3" x14ac:dyDescent="0.25">
      <c r="B199" s="108"/>
      <c r="C199" s="107"/>
    </row>
    <row r="200" spans="2:3" x14ac:dyDescent="0.25">
      <c r="B200" s="108"/>
      <c r="C200" s="107"/>
    </row>
    <row r="201" spans="2:3" x14ac:dyDescent="0.25">
      <c r="B201" s="108"/>
      <c r="C201" s="107"/>
    </row>
    <row r="202" spans="2:3" x14ac:dyDescent="0.25">
      <c r="B202" s="108"/>
      <c r="C202" s="107"/>
    </row>
    <row r="203" spans="2:3" x14ac:dyDescent="0.25">
      <c r="B203" s="108"/>
      <c r="C203" s="107"/>
    </row>
    <row r="204" spans="2:3" x14ac:dyDescent="0.25">
      <c r="B204" s="108"/>
      <c r="C204" s="107"/>
    </row>
    <row r="205" spans="2:3" x14ac:dyDescent="0.25">
      <c r="B205" s="108"/>
      <c r="C205" s="107"/>
    </row>
    <row r="206" spans="2:3" x14ac:dyDescent="0.25">
      <c r="B206" s="108"/>
      <c r="C206" s="107"/>
    </row>
    <row r="207" spans="2:3" x14ac:dyDescent="0.25">
      <c r="B207" s="108"/>
      <c r="C207" s="107"/>
    </row>
    <row r="208" spans="2:3" x14ac:dyDescent="0.25">
      <c r="B208" s="108"/>
      <c r="C208" s="107"/>
    </row>
    <row r="209" spans="2:3" x14ac:dyDescent="0.25">
      <c r="B209" s="108"/>
      <c r="C209" s="107"/>
    </row>
    <row r="210" spans="2:3" x14ac:dyDescent="0.25">
      <c r="B210" s="108"/>
      <c r="C210" s="107"/>
    </row>
    <row r="211" spans="2:3" x14ac:dyDescent="0.25">
      <c r="B211" s="108"/>
      <c r="C211" s="107"/>
    </row>
    <row r="212" spans="2:3" x14ac:dyDescent="0.25">
      <c r="B212" s="108"/>
      <c r="C212" s="107"/>
    </row>
    <row r="213" spans="2:3" x14ac:dyDescent="0.25">
      <c r="B213" s="108"/>
      <c r="C213" s="107"/>
    </row>
    <row r="214" spans="2:3" x14ac:dyDescent="0.25">
      <c r="B214" s="108"/>
      <c r="C214" s="107"/>
    </row>
    <row r="215" spans="2:3" x14ac:dyDescent="0.25">
      <c r="B215" s="108"/>
      <c r="C215" s="107"/>
    </row>
    <row r="216" spans="2:3" x14ac:dyDescent="0.25">
      <c r="B216" s="108"/>
      <c r="C216" s="107"/>
    </row>
    <row r="217" spans="2:3" x14ac:dyDescent="0.25">
      <c r="B217" s="108"/>
      <c r="C217" s="107"/>
    </row>
    <row r="218" spans="2:3" x14ac:dyDescent="0.25">
      <c r="B218" s="108"/>
      <c r="C218" s="107"/>
    </row>
    <row r="219" spans="2:3" x14ac:dyDescent="0.25">
      <c r="B219" s="108"/>
      <c r="C219" s="107"/>
    </row>
    <row r="220" spans="2:3" x14ac:dyDescent="0.25">
      <c r="B220" s="108"/>
      <c r="C220" s="107"/>
    </row>
    <row r="221" spans="2:3" x14ac:dyDescent="0.25">
      <c r="B221" s="108"/>
      <c r="C221" s="107"/>
    </row>
  </sheetData>
  <conditionalFormatting sqref="F48:F49">
    <cfRule type="cellIs" dxfId="8" priority="9" stopIfTrue="1" operator="greaterThan">
      <formula>0</formula>
    </cfRule>
  </conditionalFormatting>
  <conditionalFormatting sqref="C19:C20">
    <cfRule type="cellIs" dxfId="7" priority="7" stopIfTrue="1" operator="lessThan">
      <formula>0</formula>
    </cfRule>
    <cfRule type="cellIs" dxfId="6" priority="8" stopIfTrue="1" operator="greaterThan">
      <formula>0</formula>
    </cfRule>
  </conditionalFormatting>
  <conditionalFormatting sqref="F10 D14:E14">
    <cfRule type="cellIs" dxfId="5" priority="5" stopIfTrue="1" operator="greaterThan">
      <formula>0</formula>
    </cfRule>
    <cfRule type="cellIs" dxfId="4" priority="6" stopIfTrue="1" operator="lessThan">
      <formula>0</formula>
    </cfRule>
  </conditionalFormatting>
  <conditionalFormatting sqref="E7">
    <cfRule type="cellIs" dxfId="3" priority="3" stopIfTrue="1" operator="lessThan">
      <formula>0</formula>
    </cfRule>
    <cfRule type="cellIs" dxfId="2" priority="4" stopIfTrue="1" operator="greaterThan">
      <formula>0</formula>
    </cfRule>
  </conditionalFormatting>
  <conditionalFormatting sqref="C6">
    <cfRule type="cellIs" dxfId="1" priority="1" stopIfTrue="1" operator="lessThan">
      <formula>0</formula>
    </cfRule>
    <cfRule type="cellIs" dxfId="0" priority="2" stopIfTrue="1" operator="greaterThan">
      <formula>0</formula>
    </cfRule>
  </conditionalFormatting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4:E21"/>
  <sheetViews>
    <sheetView workbookViewId="0">
      <selection activeCell="F24" sqref="F24"/>
    </sheetView>
  </sheetViews>
  <sheetFormatPr defaultRowHeight="15" x14ac:dyDescent="0.25"/>
  <cols>
    <col min="2" max="2" width="12" customWidth="1"/>
  </cols>
  <sheetData>
    <row r="4" spans="2:5" x14ac:dyDescent="0.25">
      <c r="B4" s="1" t="s">
        <v>73</v>
      </c>
    </row>
    <row r="6" spans="2:5" x14ac:dyDescent="0.25">
      <c r="C6" s="58"/>
      <c r="D6" s="58"/>
    </row>
    <row r="7" spans="2:5" x14ac:dyDescent="0.25">
      <c r="B7" t="s">
        <v>74</v>
      </c>
      <c r="C7" s="58" t="e">
        <f>('predicted levels'!#REF!+'Phys calcs'!C52)-E16</f>
        <v>#REF!</v>
      </c>
      <c r="D7" s="58" t="e">
        <f>('predicted levels'!#REF!+'Phys calcs'!C52)-E16</f>
        <v>#REF!</v>
      </c>
    </row>
    <row r="8" spans="2:5" x14ac:dyDescent="0.25">
      <c r="B8" t="s">
        <v>75</v>
      </c>
      <c r="C8" s="58" t="e">
        <f>('predicted levels'!#REF!+'Phys calcs'!C52)-E17</f>
        <v>#REF!</v>
      </c>
      <c r="D8" s="58" t="e">
        <f>('predicted levels'!E47+'Phys calcs'!C52)-E17</f>
        <v>#DIV/0!</v>
      </c>
    </row>
    <row r="9" spans="2:5" x14ac:dyDescent="0.25">
      <c r="B9" t="s">
        <v>76</v>
      </c>
      <c r="C9" s="58" t="e">
        <f>('predicted levels'!#REF!+'Phys calcs'!C52)-E18</f>
        <v>#REF!</v>
      </c>
      <c r="D9" s="58" t="e">
        <f>('predicted levels'!E48+'Phys calcs'!C52)-E18</f>
        <v>#DIV/0!</v>
      </c>
    </row>
    <row r="10" spans="2:5" x14ac:dyDescent="0.25">
      <c r="B10" t="s">
        <v>77</v>
      </c>
      <c r="C10" s="58" t="e">
        <f>('predicted levels'!#REF!+'Phys calcs'!C52)-E19</f>
        <v>#REF!</v>
      </c>
      <c r="D10" s="58" t="e">
        <f>('predicted levels'!E49+'Phys calcs'!C52)-E19</f>
        <v>#DIV/0!</v>
      </c>
    </row>
    <row r="11" spans="2:5" x14ac:dyDescent="0.25">
      <c r="B11" t="s">
        <v>78</v>
      </c>
      <c r="C11" s="58" t="e">
        <f>('predicted levels'!#REF!+'Phys calcs'!C52)-E20</f>
        <v>#REF!</v>
      </c>
      <c r="D11" s="58" t="e">
        <f>('predicted levels'!E51+'Phys calcs'!C52)-E20</f>
        <v>#DIV/0!</v>
      </c>
    </row>
    <row r="12" spans="2:5" x14ac:dyDescent="0.25">
      <c r="B12" t="s">
        <v>10</v>
      </c>
      <c r="C12" s="58" t="e">
        <f>('predicted levels'!#REF!+'predicted levels'!#REF!)-E20</f>
        <v>#REF!</v>
      </c>
      <c r="D12" s="58" t="e">
        <f>('predicted levels'!E52+'predicted levels'!#REF!)-E20</f>
        <v>#REF!</v>
      </c>
    </row>
    <row r="14" spans="2:5" x14ac:dyDescent="0.25">
      <c r="D14" s="59" t="s">
        <v>79</v>
      </c>
    </row>
    <row r="15" spans="2:5" x14ac:dyDescent="0.25">
      <c r="D15" t="s">
        <v>80</v>
      </c>
      <c r="E15" s="60">
        <v>5.8</v>
      </c>
    </row>
    <row r="16" spans="2:5" x14ac:dyDescent="0.25">
      <c r="D16" t="s">
        <v>81</v>
      </c>
      <c r="E16" s="60">
        <v>5.65</v>
      </c>
    </row>
    <row r="17" spans="2:5" x14ac:dyDescent="0.25">
      <c r="D17" t="s">
        <v>75</v>
      </c>
      <c r="E17" s="60">
        <v>5.65</v>
      </c>
    </row>
    <row r="18" spans="2:5" x14ac:dyDescent="0.25">
      <c r="D18" t="s">
        <v>76</v>
      </c>
      <c r="E18" s="60">
        <v>4.2</v>
      </c>
    </row>
    <row r="19" spans="2:5" x14ac:dyDescent="0.25">
      <c r="D19" t="s">
        <v>77</v>
      </c>
      <c r="E19" s="60">
        <v>4.2</v>
      </c>
    </row>
    <row r="20" spans="2:5" x14ac:dyDescent="0.25">
      <c r="D20" t="s">
        <v>78</v>
      </c>
      <c r="E20" s="60">
        <v>4.2</v>
      </c>
    </row>
    <row r="21" spans="2:5" x14ac:dyDescent="0.25">
      <c r="B21" s="61"/>
    </row>
  </sheetData>
  <customSheetViews>
    <customSheetView guid="{CE2035FC-ABA8-4AF4-8A93-1868391FA6C4}">
      <selection activeCell="F24" sqref="F24"/>
      <pageMargins left="0.7" right="0.7" top="0.75" bottom="0.75" header="0.3" footer="0.3"/>
      <pageSetup paperSize="9" orientation="portrait"/>
    </customSheetView>
    <customSheetView guid="{7FAE1FD6-EAC8-4844-9D60-FD163C574510}">
      <selection activeCell="F24" sqref="F24"/>
      <pageMargins left="0.7" right="0.7" top="0.75" bottom="0.75" header="0.3" footer="0.3"/>
      <pageSetup paperSize="9" orientation="portrait"/>
    </customSheetView>
    <customSheetView guid="{E56B61DF-7D7B-44F2-8FE5-E1F110AF10C2}">
      <selection activeCell="F24" sqref="F24"/>
      <pageMargins left="0.7" right="0.7" top="0.75" bottom="0.75" header="0.3" footer="0.3"/>
      <pageSetup paperSize="9" orientation="portrait"/>
    </customSheetView>
  </customSheetViews>
  <phoneticPr fontId="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H15"/>
  <sheetViews>
    <sheetView workbookViewId="0">
      <selection activeCell="B18" sqref="B18"/>
    </sheetView>
  </sheetViews>
  <sheetFormatPr defaultRowHeight="15" x14ac:dyDescent="0.25"/>
  <cols>
    <col min="2" max="2" width="14.42578125" customWidth="1"/>
    <col min="8" max="8" width="10.140625" customWidth="1"/>
  </cols>
  <sheetData>
    <row r="2" spans="1:8" ht="15.75" x14ac:dyDescent="0.25">
      <c r="A2" s="46" t="s">
        <v>82</v>
      </c>
      <c r="B2" s="47" t="s">
        <v>83</v>
      </c>
      <c r="C2" s="47" t="s">
        <v>84</v>
      </c>
      <c r="D2" s="47" t="s">
        <v>85</v>
      </c>
      <c r="E2" s="47" t="s">
        <v>86</v>
      </c>
      <c r="F2" s="47" t="s">
        <v>87</v>
      </c>
      <c r="G2" s="47" t="s">
        <v>88</v>
      </c>
      <c r="H2" s="48" t="s">
        <v>89</v>
      </c>
    </row>
    <row r="3" spans="1:8" ht="15.75" x14ac:dyDescent="0.25">
      <c r="A3" s="49" t="s">
        <v>90</v>
      </c>
      <c r="B3" s="50">
        <v>64.7</v>
      </c>
      <c r="C3" s="50">
        <v>2.9</v>
      </c>
      <c r="D3" s="50">
        <v>1.2</v>
      </c>
      <c r="E3" s="50">
        <v>3.9E-2</v>
      </c>
      <c r="F3" s="50">
        <v>0.75</v>
      </c>
      <c r="G3" s="50">
        <v>2.1</v>
      </c>
      <c r="H3" s="51">
        <v>8.5</v>
      </c>
    </row>
    <row r="4" spans="1:8" ht="15.75" x14ac:dyDescent="0.25">
      <c r="A4" s="52" t="s">
        <v>91</v>
      </c>
      <c r="B4" s="53">
        <v>63.8</v>
      </c>
      <c r="C4" s="53">
        <v>3.7</v>
      </c>
      <c r="D4" s="53">
        <v>1.7</v>
      </c>
      <c r="E4" s="53">
        <v>3.5000000000000003E-2</v>
      </c>
      <c r="F4" s="53">
        <v>0.7</v>
      </c>
      <c r="G4" s="53">
        <v>2.2000000000000002</v>
      </c>
      <c r="H4" s="54">
        <v>12.5</v>
      </c>
    </row>
    <row r="5" spans="1:8" ht="15.75" x14ac:dyDescent="0.25">
      <c r="A5" s="52" t="s">
        <v>92</v>
      </c>
      <c r="B5" s="53">
        <v>63</v>
      </c>
      <c r="C5" s="53">
        <v>5.5</v>
      </c>
      <c r="D5" s="53">
        <v>1.7</v>
      </c>
      <c r="E5" s="53">
        <v>0.06</v>
      </c>
      <c r="F5" s="53">
        <v>0.3</v>
      </c>
      <c r="G5" s="53">
        <v>2.2000000000000002</v>
      </c>
      <c r="H5" s="54">
        <v>8</v>
      </c>
    </row>
    <row r="6" spans="1:8" ht="15.75" x14ac:dyDescent="0.25">
      <c r="A6" s="52" t="s">
        <v>93</v>
      </c>
      <c r="B6" s="53">
        <v>60</v>
      </c>
      <c r="C6" s="53">
        <v>10</v>
      </c>
      <c r="D6" s="53">
        <v>1.9</v>
      </c>
      <c r="E6" s="53">
        <v>0.06</v>
      </c>
      <c r="F6" s="53">
        <v>0.3</v>
      </c>
      <c r="G6" s="53">
        <v>2.2999999999999998</v>
      </c>
      <c r="H6" s="54">
        <v>8.5</v>
      </c>
    </row>
    <row r="7" spans="1:8" ht="15.75" x14ac:dyDescent="0.25">
      <c r="A7" s="52" t="s">
        <v>94</v>
      </c>
      <c r="B7" s="53">
        <v>65.099999999999994</v>
      </c>
      <c r="C7" s="53">
        <v>3.4</v>
      </c>
      <c r="D7" s="53">
        <v>1.4</v>
      </c>
      <c r="E7" s="53">
        <v>0.06</v>
      </c>
      <c r="F7" s="53">
        <v>0.1</v>
      </c>
      <c r="G7" s="53">
        <v>1.9</v>
      </c>
      <c r="H7" s="54">
        <v>3.5</v>
      </c>
    </row>
    <row r="8" spans="1:8" ht="15.75" x14ac:dyDescent="0.25">
      <c r="A8" s="52" t="s">
        <v>95</v>
      </c>
      <c r="B8" s="53">
        <v>64.5</v>
      </c>
      <c r="C8" s="53">
        <v>3.3</v>
      </c>
      <c r="D8" s="53">
        <v>1.6</v>
      </c>
      <c r="E8" s="53">
        <v>7.0000000000000007E-2</v>
      </c>
      <c r="F8" s="53">
        <v>0.25</v>
      </c>
      <c r="G8" s="53">
        <v>2.2000000000000002</v>
      </c>
      <c r="H8" s="54">
        <v>4</v>
      </c>
    </row>
    <row r="9" spans="1:8" ht="15.75" x14ac:dyDescent="0.25">
      <c r="A9" s="52" t="s">
        <v>96</v>
      </c>
      <c r="B9" s="53">
        <v>63.4</v>
      </c>
      <c r="C9" s="53">
        <v>6.2</v>
      </c>
      <c r="D9" s="53">
        <v>1</v>
      </c>
      <c r="E9" s="53">
        <v>0.05</v>
      </c>
      <c r="F9" s="53">
        <v>0.2</v>
      </c>
      <c r="G9" s="53">
        <v>1.7</v>
      </c>
      <c r="H9" s="54">
        <v>7</v>
      </c>
    </row>
    <row r="10" spans="1:8" ht="15.75" x14ac:dyDescent="0.25">
      <c r="A10" s="52" t="s">
        <v>97</v>
      </c>
      <c r="B10" s="53">
        <v>60</v>
      </c>
      <c r="C10" s="53">
        <v>11</v>
      </c>
      <c r="D10" s="53">
        <v>1</v>
      </c>
      <c r="E10" s="53">
        <v>0.04</v>
      </c>
      <c r="F10" s="53">
        <v>0.3</v>
      </c>
      <c r="G10" s="53">
        <v>0.8</v>
      </c>
      <c r="H10" s="54">
        <v>6</v>
      </c>
    </row>
    <row r="11" spans="1:8" ht="15.75" x14ac:dyDescent="0.25">
      <c r="A11" s="52" t="s">
        <v>98</v>
      </c>
      <c r="B11" s="53">
        <v>64</v>
      </c>
      <c r="C11" s="53">
        <v>4</v>
      </c>
      <c r="D11" s="53">
        <v>1.4</v>
      </c>
      <c r="E11" s="53">
        <v>9.5000000000000001E-2</v>
      </c>
      <c r="F11" s="53">
        <v>0.15</v>
      </c>
      <c r="G11" s="53">
        <v>2.7</v>
      </c>
      <c r="H11" s="54">
        <v>5</v>
      </c>
    </row>
    <row r="12" spans="1:8" ht="15.75" x14ac:dyDescent="0.25">
      <c r="A12" s="52" t="s">
        <v>99</v>
      </c>
      <c r="B12" s="53">
        <v>64</v>
      </c>
      <c r="C12" s="53">
        <v>4</v>
      </c>
      <c r="D12" s="53">
        <v>2</v>
      </c>
      <c r="E12" s="53">
        <v>7.4999999999999997E-2</v>
      </c>
      <c r="F12" s="53">
        <v>3.5000000000000003E-2</v>
      </c>
      <c r="G12" s="53">
        <v>2</v>
      </c>
      <c r="H12" s="54">
        <v>6.5</v>
      </c>
    </row>
    <row r="13" spans="1:8" ht="15.75" x14ac:dyDescent="0.25">
      <c r="A13" s="52" t="s">
        <v>100</v>
      </c>
      <c r="B13" s="53">
        <v>64</v>
      </c>
      <c r="C13" s="53">
        <v>4</v>
      </c>
      <c r="D13" s="53">
        <v>2</v>
      </c>
      <c r="E13" s="53">
        <v>7.4999999999999997E-2</v>
      </c>
      <c r="F13" s="53">
        <v>3.5000000000000003E-2</v>
      </c>
      <c r="G13" s="53">
        <v>2</v>
      </c>
      <c r="H13" s="54">
        <v>6.5</v>
      </c>
    </row>
    <row r="14" spans="1:8" ht="15.75" x14ac:dyDescent="0.25">
      <c r="A14" s="52" t="s">
        <v>101</v>
      </c>
      <c r="B14" s="53">
        <v>65.5</v>
      </c>
      <c r="C14" s="53">
        <v>3</v>
      </c>
      <c r="D14" s="53">
        <v>1.5</v>
      </c>
      <c r="E14" s="53">
        <v>6.5000000000000002E-2</v>
      </c>
      <c r="F14" s="53">
        <v>3.5000000000000003E-2</v>
      </c>
      <c r="G14" s="53">
        <v>1.7</v>
      </c>
      <c r="H14" s="54">
        <v>4</v>
      </c>
    </row>
    <row r="15" spans="1:8" ht="15.75" x14ac:dyDescent="0.25">
      <c r="A15" s="55" t="s">
        <v>102</v>
      </c>
      <c r="B15" s="56">
        <v>63.2</v>
      </c>
      <c r="C15" s="56">
        <v>5.5</v>
      </c>
      <c r="D15" s="56">
        <v>1.5</v>
      </c>
      <c r="E15" s="56">
        <v>3.9E-2</v>
      </c>
      <c r="F15" s="56">
        <v>0.85</v>
      </c>
      <c r="G15" s="56">
        <v>1.8</v>
      </c>
      <c r="H15" s="57">
        <v>8.5</v>
      </c>
    </row>
  </sheetData>
  <customSheetViews>
    <customSheetView guid="{CE2035FC-ABA8-4AF4-8A93-1868391FA6C4}">
      <selection activeCell="B18" sqref="B18"/>
      <pageMargins left="0.7" right="0.7" top="0.75" bottom="0.75" header="0.3" footer="0.3"/>
    </customSheetView>
    <customSheetView guid="{7FAE1FD6-EAC8-4844-9D60-FD163C574510}">
      <selection activeCell="B18" sqref="B18"/>
      <pageMargins left="0.7" right="0.7" top="0.75" bottom="0.75" header="0.3" footer="0.3"/>
    </customSheetView>
    <customSheetView guid="{E56B61DF-7D7B-44F2-8FE5-E1F110AF10C2}">
      <selection activeCell="B18" sqref="B18"/>
      <pageMargins left="0.7" right="0.7" top="0.75" bottom="0.75" header="0.3" footer="0.3"/>
    </customSheetView>
  </customSheetViews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T22"/>
  <sheetViews>
    <sheetView workbookViewId="0">
      <selection activeCell="B6" sqref="B6"/>
    </sheetView>
  </sheetViews>
  <sheetFormatPr defaultRowHeight="15" x14ac:dyDescent="0.25"/>
  <cols>
    <col min="1" max="1" width="30.28515625" style="3" customWidth="1"/>
    <col min="2" max="2" width="20.28515625" style="3" bestFit="1" customWidth="1"/>
    <col min="3" max="3" width="12.85546875" style="3" customWidth="1"/>
    <col min="4" max="4" width="9.140625" style="3" bestFit="1"/>
    <col min="5" max="16384" width="9.140625" style="3"/>
  </cols>
  <sheetData>
    <row r="1" spans="1:20" customFormat="1" x14ac:dyDescent="0.25">
      <c r="A1" s="4" t="s">
        <v>103</v>
      </c>
      <c r="B1" s="5"/>
      <c r="C1" s="6"/>
      <c r="D1" s="7"/>
      <c r="E1" s="7"/>
      <c r="F1" s="7"/>
      <c r="G1" s="7"/>
      <c r="H1" s="7"/>
      <c r="I1" s="7"/>
      <c r="J1" s="7"/>
      <c r="K1" s="7"/>
      <c r="L1" s="44"/>
      <c r="M1" s="7"/>
      <c r="N1" s="7"/>
      <c r="O1" s="7"/>
      <c r="P1" s="8"/>
    </row>
    <row r="2" spans="1:20" customFormat="1" x14ac:dyDescent="0.25">
      <c r="A2" s="8"/>
      <c r="B2" s="5"/>
      <c r="C2" s="9"/>
      <c r="D2" s="10"/>
      <c r="E2" s="11"/>
      <c r="F2" s="11"/>
      <c r="G2" s="12"/>
      <c r="H2" s="12"/>
      <c r="I2" s="11"/>
      <c r="J2" s="12"/>
      <c r="K2" s="12"/>
      <c r="L2" s="5"/>
      <c r="M2" s="5"/>
      <c r="N2" s="5"/>
      <c r="O2" s="5"/>
      <c r="P2" s="8"/>
      <c r="Q2" t="s">
        <v>64</v>
      </c>
    </row>
    <row r="3" spans="1:20" customFormat="1" x14ac:dyDescent="0.25">
      <c r="A3" s="8"/>
      <c r="B3" s="5"/>
      <c r="C3" s="9"/>
      <c r="D3" s="11"/>
      <c r="E3" s="11"/>
      <c r="F3" s="11"/>
      <c r="G3" s="12"/>
      <c r="H3" s="12"/>
      <c r="I3" s="11"/>
      <c r="J3" s="12"/>
      <c r="K3" s="12"/>
      <c r="L3" s="11"/>
      <c r="M3" s="11"/>
      <c r="N3" s="5"/>
      <c r="O3" s="5"/>
      <c r="P3" s="8"/>
    </row>
    <row r="4" spans="1:20" customFormat="1" ht="31.5" x14ac:dyDescent="0.25">
      <c r="A4" s="8"/>
      <c r="B4" s="13" t="s">
        <v>104</v>
      </c>
      <c r="C4" s="14" t="s">
        <v>105</v>
      </c>
      <c r="D4" s="15" t="s">
        <v>106</v>
      </c>
      <c r="E4" s="16"/>
      <c r="F4" s="16"/>
      <c r="G4" s="12"/>
      <c r="H4" s="12"/>
      <c r="I4" s="16"/>
      <c r="J4" s="12"/>
      <c r="K4" s="12"/>
      <c r="L4" s="11"/>
      <c r="M4" s="11"/>
      <c r="N4" s="5"/>
      <c r="O4" s="5"/>
      <c r="P4" s="8"/>
    </row>
    <row r="5" spans="1:20" customFormat="1" ht="15.75" x14ac:dyDescent="0.25">
      <c r="A5" s="8"/>
      <c r="B5" s="17">
        <v>2930</v>
      </c>
      <c r="C5" s="18">
        <f>(B5+20)</f>
        <v>2950</v>
      </c>
      <c r="D5" s="19" t="str">
        <f>_xll.BDP("CNY Curncy","LAST_PRICE")</f>
        <v>#N/A Connection</v>
      </c>
      <c r="E5" s="16"/>
      <c r="F5" s="16"/>
      <c r="G5" s="12"/>
      <c r="H5" s="12"/>
      <c r="I5" s="16"/>
      <c r="J5" s="12"/>
      <c r="K5" s="12"/>
      <c r="L5" s="11"/>
      <c r="M5" s="11"/>
      <c r="N5" s="5"/>
      <c r="O5" s="5"/>
      <c r="P5" s="8"/>
    </row>
    <row r="6" spans="1:20" customFormat="1" ht="14.25" customHeight="1" x14ac:dyDescent="0.25">
      <c r="A6" s="8"/>
      <c r="B6" s="20" t="s">
        <v>107</v>
      </c>
      <c r="C6" s="21">
        <f>(C5*0.889+10+30)</f>
        <v>2662.55</v>
      </c>
      <c r="D6" s="22"/>
      <c r="E6" s="11"/>
      <c r="F6" s="11"/>
      <c r="G6" s="12"/>
      <c r="H6" s="12"/>
      <c r="I6" s="16"/>
      <c r="J6" s="12"/>
      <c r="K6" s="12"/>
      <c r="L6" s="11"/>
      <c r="M6" s="11"/>
      <c r="N6" s="5"/>
      <c r="O6" s="5"/>
      <c r="P6" s="8"/>
    </row>
    <row r="7" spans="1:20" ht="15.75" x14ac:dyDescent="0.25">
      <c r="A7" s="23"/>
      <c r="B7" s="20"/>
      <c r="C7" s="24"/>
      <c r="D7" s="25"/>
      <c r="E7" s="26"/>
      <c r="F7" s="26"/>
      <c r="G7" s="26"/>
      <c r="H7" s="27"/>
      <c r="I7" s="26"/>
      <c r="J7" s="26"/>
      <c r="K7" s="26"/>
      <c r="L7" s="31"/>
      <c r="M7" s="26"/>
      <c r="N7" s="26"/>
      <c r="O7" s="26"/>
      <c r="P7" s="31"/>
      <c r="Q7" s="40"/>
      <c r="R7" s="40"/>
      <c r="S7" s="40"/>
      <c r="T7" s="42"/>
    </row>
    <row r="8" spans="1:20" ht="15.75" x14ac:dyDescent="0.25">
      <c r="A8" s="23"/>
      <c r="B8" s="28" t="s">
        <v>108</v>
      </c>
      <c r="C8" s="29" t="e">
        <f>(C6/D5)</f>
        <v>#VALUE!</v>
      </c>
      <c r="D8" s="30"/>
      <c r="E8" s="26"/>
      <c r="F8" s="26"/>
      <c r="G8" s="26"/>
      <c r="H8" s="27"/>
      <c r="I8" s="26"/>
      <c r="J8" s="26"/>
      <c r="K8" s="26"/>
      <c r="L8" s="31"/>
      <c r="M8" s="26"/>
      <c r="N8" s="26"/>
      <c r="O8" s="26"/>
      <c r="P8" s="31"/>
      <c r="Q8" s="40"/>
      <c r="R8" s="40"/>
      <c r="S8" s="40"/>
      <c r="T8" s="42"/>
    </row>
    <row r="9" spans="1:20" x14ac:dyDescent="0.25">
      <c r="A9" s="23"/>
      <c r="D9" s="31"/>
      <c r="E9" s="26"/>
      <c r="F9" s="26"/>
      <c r="G9" s="26"/>
      <c r="H9" s="27"/>
      <c r="I9" s="26"/>
      <c r="J9" s="26"/>
      <c r="K9" s="26"/>
      <c r="L9" s="31"/>
      <c r="M9" s="26"/>
      <c r="N9" s="26"/>
      <c r="O9" s="26"/>
      <c r="P9" s="31"/>
      <c r="Q9" s="40"/>
      <c r="R9" s="40"/>
      <c r="S9" s="40"/>
      <c r="T9" s="40"/>
    </row>
    <row r="10" spans="1:20" x14ac:dyDescent="0.25">
      <c r="A10" s="23"/>
      <c r="D10" s="31"/>
      <c r="E10" s="26"/>
      <c r="F10" s="26"/>
      <c r="G10" s="26"/>
      <c r="H10" s="26"/>
      <c r="I10" s="26"/>
      <c r="J10" s="26"/>
      <c r="K10" s="8"/>
      <c r="L10" s="8"/>
      <c r="M10" s="8"/>
      <c r="N10" s="8"/>
      <c r="O10" s="8"/>
      <c r="P10" s="8"/>
    </row>
    <row r="11" spans="1:20" x14ac:dyDescent="0.25">
      <c r="A11" s="23"/>
      <c r="B11" s="26"/>
      <c r="C11" s="26"/>
      <c r="D11" s="31"/>
      <c r="E11" s="26"/>
      <c r="F11" s="26"/>
      <c r="G11" s="26"/>
      <c r="H11" s="26"/>
      <c r="I11" s="26"/>
      <c r="J11" s="26"/>
      <c r="K11" s="26"/>
      <c r="L11" s="27"/>
      <c r="M11" s="26"/>
      <c r="N11" s="26"/>
      <c r="O11" s="27"/>
      <c r="P11" s="26"/>
      <c r="Q11" s="40"/>
      <c r="R11" s="45"/>
      <c r="S11" s="40"/>
      <c r="T11" s="40"/>
    </row>
    <row r="12" spans="1:20" x14ac:dyDescent="0.25">
      <c r="A12" s="32"/>
      <c r="B12" s="33" t="s">
        <v>109</v>
      </c>
      <c r="C12" s="34"/>
      <c r="D12" s="35"/>
      <c r="E12" s="34"/>
      <c r="F12" s="26"/>
      <c r="G12" s="26"/>
      <c r="H12" s="26"/>
      <c r="I12" s="26"/>
      <c r="J12" s="26"/>
      <c r="K12" s="26"/>
      <c r="L12" s="27"/>
      <c r="M12" s="26"/>
      <c r="N12" s="26"/>
      <c r="O12" s="27"/>
      <c r="P12" s="26"/>
      <c r="Q12" s="40"/>
      <c r="R12" s="45"/>
    </row>
    <row r="13" spans="1:20" x14ac:dyDescent="0.25">
      <c r="A13" s="36"/>
      <c r="B13" s="37" t="s">
        <v>110</v>
      </c>
      <c r="C13" s="38"/>
      <c r="D13" s="39"/>
      <c r="E13" s="38"/>
      <c r="F13" s="40"/>
      <c r="G13" s="40"/>
      <c r="H13" s="40"/>
      <c r="I13" s="40"/>
      <c r="J13" s="40"/>
      <c r="K13" s="40"/>
      <c r="L13" s="45"/>
      <c r="M13" s="40"/>
      <c r="N13" s="40"/>
      <c r="O13" s="45"/>
      <c r="P13" s="40"/>
      <c r="Q13" s="40"/>
      <c r="R13" s="45"/>
    </row>
    <row r="14" spans="1:20" x14ac:dyDescent="0.25">
      <c r="A14" s="41"/>
      <c r="B14" s="40"/>
      <c r="C14" s="40"/>
      <c r="D14" s="42"/>
      <c r="E14" s="40"/>
      <c r="F14" s="40"/>
      <c r="G14" s="40"/>
      <c r="H14" s="40"/>
      <c r="I14" s="40"/>
      <c r="J14" s="40"/>
      <c r="K14" s="40"/>
      <c r="L14" s="45"/>
      <c r="M14" s="40"/>
      <c r="N14" s="40"/>
      <c r="O14" s="45"/>
      <c r="P14" s="40"/>
      <c r="Q14" s="40"/>
      <c r="R14" s="45"/>
    </row>
    <row r="15" spans="1:20" x14ac:dyDescent="0.25">
      <c r="A15" s="41"/>
      <c r="B15" s="40"/>
      <c r="C15" s="40"/>
      <c r="K15" s="40"/>
      <c r="L15" s="45"/>
      <c r="M15" s="40"/>
      <c r="N15" s="40"/>
      <c r="O15" s="45"/>
      <c r="P15" s="40"/>
      <c r="Q15" s="40"/>
      <c r="R15" s="45"/>
    </row>
    <row r="16" spans="1:20" x14ac:dyDescent="0.25">
      <c r="A16" s="43"/>
      <c r="B16" s="40"/>
      <c r="C16" s="40"/>
      <c r="D16" s="42"/>
      <c r="E16" s="40"/>
      <c r="F16" s="40"/>
      <c r="G16" s="40"/>
      <c r="H16" s="40"/>
      <c r="I16" s="40"/>
      <c r="J16" s="40"/>
      <c r="K16" s="40"/>
      <c r="L16" s="45"/>
      <c r="M16" s="40"/>
      <c r="N16" s="40"/>
      <c r="O16" s="45"/>
      <c r="P16" s="40"/>
      <c r="Q16" s="40"/>
      <c r="R16" s="45"/>
    </row>
    <row r="17" spans="1:18" x14ac:dyDescent="0.25">
      <c r="A17" s="43"/>
      <c r="B17" s="40"/>
      <c r="C17" s="40"/>
      <c r="D17" s="42"/>
      <c r="E17" s="40"/>
      <c r="F17" s="40"/>
      <c r="G17" s="40"/>
      <c r="H17" s="40"/>
      <c r="I17" s="40"/>
      <c r="J17" s="40"/>
      <c r="K17" s="40"/>
      <c r="L17" s="45"/>
      <c r="M17" s="40"/>
      <c r="N17" s="40"/>
      <c r="O17" s="45"/>
      <c r="P17" s="40"/>
      <c r="Q17" s="40"/>
      <c r="R17" s="45"/>
    </row>
    <row r="18" spans="1:18" x14ac:dyDescent="0.25">
      <c r="A18" s="43"/>
      <c r="B18" s="40"/>
      <c r="C18" s="40"/>
      <c r="D18" s="42"/>
      <c r="E18" s="40"/>
      <c r="F18" s="40"/>
      <c r="G18" s="40"/>
      <c r="H18" s="40"/>
      <c r="I18" s="40"/>
      <c r="J18" s="40"/>
      <c r="K18" s="40"/>
      <c r="L18" s="45"/>
      <c r="M18" s="40"/>
      <c r="N18" s="40"/>
      <c r="O18" s="45"/>
      <c r="P18" s="40"/>
      <c r="Q18" s="40"/>
      <c r="R18" s="45"/>
    </row>
    <row r="19" spans="1:18" x14ac:dyDescent="0.25">
      <c r="A19" s="43"/>
      <c r="B19" s="40"/>
      <c r="C19" s="40"/>
      <c r="D19" s="42"/>
      <c r="E19" s="40"/>
      <c r="F19" s="40"/>
      <c r="G19" s="40"/>
      <c r="H19" s="40"/>
      <c r="I19" s="40"/>
      <c r="J19" s="40"/>
      <c r="K19" s="40"/>
      <c r="L19" s="45"/>
      <c r="M19" s="40"/>
      <c r="N19" s="40"/>
      <c r="O19" s="40"/>
      <c r="P19" s="40"/>
      <c r="Q19" s="40"/>
      <c r="R19" s="40"/>
    </row>
    <row r="20" spans="1:18" x14ac:dyDescent="0.25">
      <c r="A20" s="43"/>
      <c r="B20" s="40"/>
      <c r="C20" s="40"/>
      <c r="D20" s="42"/>
      <c r="E20" s="40"/>
      <c r="F20" s="40"/>
      <c r="G20" s="40"/>
      <c r="H20" s="40"/>
      <c r="I20" s="40"/>
      <c r="J20" s="40"/>
      <c r="K20" s="40"/>
      <c r="L20" s="45"/>
      <c r="M20" s="40"/>
      <c r="N20" s="40"/>
      <c r="O20" s="40"/>
      <c r="P20" s="40"/>
      <c r="Q20" s="40"/>
      <c r="R20" s="40"/>
    </row>
    <row r="21" spans="1:18" x14ac:dyDescent="0.25">
      <c r="A21" s="43"/>
      <c r="B21" s="40"/>
      <c r="C21" s="40"/>
      <c r="D21" s="42"/>
      <c r="E21" s="40"/>
      <c r="F21" s="40"/>
      <c r="G21" s="40"/>
      <c r="H21" s="40"/>
      <c r="I21" s="40"/>
      <c r="J21" s="40"/>
      <c r="K21" s="40"/>
      <c r="L21" s="45"/>
      <c r="M21" s="40"/>
      <c r="N21" s="40"/>
      <c r="O21" s="40"/>
      <c r="P21" s="40"/>
      <c r="Q21" s="40"/>
      <c r="R21" s="40"/>
    </row>
    <row r="22" spans="1:18" x14ac:dyDescent="0.25">
      <c r="A22" s="43"/>
      <c r="B22" s="40"/>
      <c r="C22" s="40"/>
    </row>
  </sheetData>
  <customSheetViews>
    <customSheetView guid="{CE2035FC-ABA8-4AF4-8A93-1868391FA6C4}">
      <selection activeCell="B6" sqref="B6"/>
      <pageMargins left="0.7" right="0.7" top="0.75" bottom="0.75" header="0.3" footer="0.3"/>
      <pageSetup paperSize="9" orientation="portrait"/>
    </customSheetView>
    <customSheetView guid="{7FAE1FD6-EAC8-4844-9D60-FD163C574510}">
      <selection activeCell="B6" sqref="B6"/>
      <pageMargins left="0.7" right="0.7" top="0.75" bottom="0.75" header="0.3" footer="0.3"/>
      <pageSetup paperSize="9" orientation="portrait"/>
    </customSheetView>
    <customSheetView guid="{E56B61DF-7D7B-44F2-8FE5-E1F110AF10C2}">
      <selection activeCell="B6" sqref="B6"/>
      <pageMargins left="0.7" right="0.7" top="0.75" bottom="0.75" header="0.3" footer="0.3"/>
      <pageSetup paperSize="9" orientation="portrait"/>
    </customSheetView>
  </customSheetViews>
  <phoneticPr fontId="7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3"/>
  <sheetViews>
    <sheetView workbookViewId="0">
      <selection activeCell="A4" sqref="A4"/>
    </sheetView>
  </sheetViews>
  <sheetFormatPr defaultRowHeight="15" x14ac:dyDescent="0.25"/>
  <cols>
    <col min="1" max="1" width="52.42578125" customWidth="1"/>
  </cols>
  <sheetData>
    <row r="1" spans="1:1" x14ac:dyDescent="0.25">
      <c r="A1" s="1" t="s">
        <v>111</v>
      </c>
    </row>
    <row r="3" spans="1:1" ht="105" x14ac:dyDescent="0.25">
      <c r="A3" s="2" t="s">
        <v>112</v>
      </c>
    </row>
  </sheetData>
  <customSheetViews>
    <customSheetView guid="{CE2035FC-ABA8-4AF4-8A93-1868391FA6C4}">
      <selection activeCell="A4" sqref="A4"/>
      <pageMargins left="0.7" right="0.7" top="0.75" bottom="0.75" header="0.3" footer="0.3"/>
    </customSheetView>
    <customSheetView guid="{7FAE1FD6-EAC8-4844-9D60-FD163C574510}">
      <selection activeCell="A4" sqref="A4"/>
      <pageMargins left="0.7" right="0.7" top="0.75" bottom="0.75" header="0.3" footer="0.3"/>
    </customSheetView>
    <customSheetView guid="{E56B61DF-7D7B-44F2-8FE5-E1F110AF10C2}">
      <selection activeCell="A4" sqref="A4"/>
      <pageMargins left="0.7" right="0.7" top="0.75" bottom="0.75" header="0.3" footer="0.3"/>
    </customSheetView>
  </customSheetViews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504</vt:i4>
      </vt:variant>
    </vt:vector>
  </HeadingPairs>
  <TitlesOfParts>
    <vt:vector size="510" baseType="lpstr">
      <vt:lpstr>predicted levels</vt:lpstr>
      <vt:lpstr>Phys calcs</vt:lpstr>
      <vt:lpstr> Platts FOB netback</vt:lpstr>
      <vt:lpstr>Vale Specs</vt:lpstr>
      <vt:lpstr>Steel FOB Calc</vt:lpstr>
      <vt:lpstr>steel margin calculation</vt:lpstr>
      <vt:lpstr>Trayport_Pr_Ask_10600094_10600003_3000095</vt:lpstr>
      <vt:lpstr>Trayport_Pr_Ask_10600094_10600003_3000095_3000096</vt:lpstr>
      <vt:lpstr>Trayport_Pr_Ask_10600094_10600003_3000096</vt:lpstr>
      <vt:lpstr>Trayport_Pr_Ask_10600094_10600003_3000096_3000097</vt:lpstr>
      <vt:lpstr>Trayport_Pr_Ask_10600094_10600003_3000097</vt:lpstr>
      <vt:lpstr>Trayport_Pr_Ask_10600094_10600003_3000097_3000098</vt:lpstr>
      <vt:lpstr>Trayport_Pr_Ask_10600094_10600003_3000098</vt:lpstr>
      <vt:lpstr>Trayport_Pr_Ask_10600094_10600003_3000098_3000099</vt:lpstr>
      <vt:lpstr>Trayport_Pr_Ask_10600094_10600003_3000099</vt:lpstr>
      <vt:lpstr>Trayport_Pr_Ask_10600094_10600003_3000099_3000100</vt:lpstr>
      <vt:lpstr>Trayport_Pr_Ask_10600094_10600003_3000100</vt:lpstr>
      <vt:lpstr>Trayport_Pr_Ask_10600094_10600003_3000100_3000101</vt:lpstr>
      <vt:lpstr>Trayport_Pr_Ask_10600094_10600003_3000101</vt:lpstr>
      <vt:lpstr>Trayport_Pr_Ask_10600094_10600003_3000101_3000102</vt:lpstr>
      <vt:lpstr>Trayport_Pr_Ask_10600094_10600003_3000102</vt:lpstr>
      <vt:lpstr>Trayport_Pr_Ask_10600094_10600003_3000102_3000103</vt:lpstr>
      <vt:lpstr>Trayport_Pr_Ask_10600094_10600003_3000103</vt:lpstr>
      <vt:lpstr>Trayport_Pr_Ask_10600094_10600003_3000103_3000104</vt:lpstr>
      <vt:lpstr>Trayport_Pr_Ask_10600094_10600003_3000104</vt:lpstr>
      <vt:lpstr>Trayport_Pr_Ask_10600094_10600003_3000104_3000105</vt:lpstr>
      <vt:lpstr>Trayport_Pr_Ask_10600094_10600003_3000105</vt:lpstr>
      <vt:lpstr>Trayport_Pr_Ask_10600094_10600003_3000105_3000106</vt:lpstr>
      <vt:lpstr>Trayport_Pr_Ask_10600094_10600003_3000106</vt:lpstr>
      <vt:lpstr>Trayport_Pr_Ask_10600094_10600003_3000106_3000107</vt:lpstr>
      <vt:lpstr>Trayport_Pr_Ask_10600094_10600003_3000107</vt:lpstr>
      <vt:lpstr>Trayport_Pr_Ask_10600094_10600003_3000107_3000108</vt:lpstr>
      <vt:lpstr>Trayport_Pr_Ask_10600094_10600003_3000108</vt:lpstr>
      <vt:lpstr>Trayport_Pr_Ask_10600094_10600003_3000108_3000109</vt:lpstr>
      <vt:lpstr>Trayport_Pr_Ask_10600094_10600003_3000109</vt:lpstr>
      <vt:lpstr>Trayport_Pr_Ask_10600094_10600003_3000109_3000110</vt:lpstr>
      <vt:lpstr>Trayport_Pr_Ask_10600094_10600003_3000110</vt:lpstr>
      <vt:lpstr>Trayport_Pr_Ask_10600094_10600003_3000110_3000111</vt:lpstr>
      <vt:lpstr>Trayport_Pr_Ask_10600094_10600003_3000111</vt:lpstr>
      <vt:lpstr>Trayport_Pr_Ask_10600094_10600003_3000111_3000112</vt:lpstr>
      <vt:lpstr>Trayport_Pr_Ask_10600094_10600003_3000112</vt:lpstr>
      <vt:lpstr>Trayport_Pr_Ask_10600094_10600003_3000112_3000113</vt:lpstr>
      <vt:lpstr>Trayport_Pr_Ask_10600094_10600003_3000113</vt:lpstr>
      <vt:lpstr>Trayport_Pr_Ask_10600094_10600003_3000113_3000114</vt:lpstr>
      <vt:lpstr>Trayport_Pr_Ask_10600094_10600003_3000114</vt:lpstr>
      <vt:lpstr>Trayport_Pr_Ask_10600094_10600003_3000114_3000115</vt:lpstr>
      <vt:lpstr>Trayport_Pr_Ask_10600094_10600003_3000115</vt:lpstr>
      <vt:lpstr>Trayport_Pr_Ask_10600094_10600003_3000115_3000116</vt:lpstr>
      <vt:lpstr>Trayport_Pr_Ask_10600094_10600003_3000116</vt:lpstr>
      <vt:lpstr>Trayport_Pr_Ask_10600094_10600003_3000116_3000117</vt:lpstr>
      <vt:lpstr>Trayport_Pr_Ask_10600094_10600003_3000117</vt:lpstr>
      <vt:lpstr>Trayport_Pr_Ask_10600094_10600003_3000117_3000118</vt:lpstr>
      <vt:lpstr>Trayport_Pr_Ask_10600094_10600003_3000118</vt:lpstr>
      <vt:lpstr>Trayport_Pr_Ask_10600094_10600003_3000118_3000119</vt:lpstr>
      <vt:lpstr>Trayport_Pr_Ask_10600094_10600003_3000119</vt:lpstr>
      <vt:lpstr>Trayport_Pr_Ask_10600094_10600003_3000119_3000120</vt:lpstr>
      <vt:lpstr>Trayport_Pr_Ask_10600094_10600003_3000120</vt:lpstr>
      <vt:lpstr>Trayport_Pr_Ask_10600094_10600003_3000120_3000121</vt:lpstr>
      <vt:lpstr>Trayport_Pr_Ask_10600094_10600003_3000121</vt:lpstr>
      <vt:lpstr>Trayport_Pr_Ask_10600094_10600003_3000121_3000122</vt:lpstr>
      <vt:lpstr>Trayport_Pr_Ask_10600094_10600003_3000122</vt:lpstr>
      <vt:lpstr>Trayport_Pr_Ask_10600094_10600003_3000122_3000123</vt:lpstr>
      <vt:lpstr>Trayport_Pr_Ask_10600094_10600003_3000123</vt:lpstr>
      <vt:lpstr>Trayport_Pr_Ask_10600094_10600003_3000123_3000124</vt:lpstr>
      <vt:lpstr>Trayport_Pr_Ask_10600094_10600003_3000124</vt:lpstr>
      <vt:lpstr>Trayport_Pr_Ask_10600094_10600003_3000124_3000125</vt:lpstr>
      <vt:lpstr>Trayport_Pr_Ask_10600094_10600003_3000125</vt:lpstr>
      <vt:lpstr>Trayport_Pr_Ask_10600094_10600003_3000125_3000126</vt:lpstr>
      <vt:lpstr>Trayport_Pr_Ask_10600094_10600003_3000126</vt:lpstr>
      <vt:lpstr>Trayport_Pr_Ask_10600094_10600003_3000126_3000127</vt:lpstr>
      <vt:lpstr>Trayport_Pr_Ask_10600094_10600003_3000127</vt:lpstr>
      <vt:lpstr>Trayport_Pr_Ask_10600094_10600003_3000127_3000128</vt:lpstr>
      <vt:lpstr>Trayport_Pr_Ask_10600094_10600003_3000128</vt:lpstr>
      <vt:lpstr>Trayport_Pr_Ask_10600094_10600003_3000128_3000129</vt:lpstr>
      <vt:lpstr>Trayport_Pr_Ask_10600094_10600003_3000129</vt:lpstr>
      <vt:lpstr>Trayport_Pr_Ask_10600094_10600003_3000129_3000130</vt:lpstr>
      <vt:lpstr>Trayport_Pr_Ask_10600094_10600003_3000130</vt:lpstr>
      <vt:lpstr>Trayport_Pr_Ask_10600094_10600003_3000130_3000131</vt:lpstr>
      <vt:lpstr>Trayport_Pr_Ask_10600094_10600003_3000131</vt:lpstr>
      <vt:lpstr>Trayport_Pr_Ask_10600094_10600003_3000132</vt:lpstr>
      <vt:lpstr>Trayport_Pr_Ask_10600094_10600003_3000133</vt:lpstr>
      <vt:lpstr>Trayport_Pr_Ask_10600094_10600003_3000134</vt:lpstr>
      <vt:lpstr>Trayport_Pr_Ask_10600094_10600003_3000135</vt:lpstr>
      <vt:lpstr>Trayport_Pr_Ask_10600094_10600003_3000136</vt:lpstr>
      <vt:lpstr>Trayport_Pr_Ask_10600094_10600003_3000137</vt:lpstr>
      <vt:lpstr>Trayport_Pr_Ask_10600094_10600003_3000138</vt:lpstr>
      <vt:lpstr>Trayport_Pr_Ask_10600094_10600003_3000139</vt:lpstr>
      <vt:lpstr>Trayport_Pr_Ask_10600094_10600003_3000140</vt:lpstr>
      <vt:lpstr>Trayport_Pr_Ask_10600094_10600003_3000141</vt:lpstr>
      <vt:lpstr>Trayport_Pr_Ask_10600094_10600003_3000142</vt:lpstr>
      <vt:lpstr>Trayport_Pr_Ask_10600094_10600003_3000143</vt:lpstr>
      <vt:lpstr>Trayport_Pr_Ask_10600094_10600003_3000144</vt:lpstr>
      <vt:lpstr>Trayport_Pr_Ask_10600094_10600004_4000133</vt:lpstr>
      <vt:lpstr>Trayport_Pr_Ask_10600094_10600004_4000133_4000134</vt:lpstr>
      <vt:lpstr>Trayport_Pr_Ask_10600094_10600004_4000134</vt:lpstr>
      <vt:lpstr>Trayport_Pr_Ask_10600094_10600004_4000134_4000135</vt:lpstr>
      <vt:lpstr>Trayport_Pr_Ask_10600094_10600004_4000135</vt:lpstr>
      <vt:lpstr>Trayport_Pr_Ask_10600094_10600004_4000135_4000136</vt:lpstr>
      <vt:lpstr>Trayport_Pr_Ask_10600094_10600004_4000136</vt:lpstr>
      <vt:lpstr>Trayport_Pr_Ask_10600094_10600004_4000136_4000137</vt:lpstr>
      <vt:lpstr>Trayport_Pr_Ask_10600094_10600004_4000137</vt:lpstr>
      <vt:lpstr>Trayport_Pr_Ask_10600094_10600004_4000137_4000138</vt:lpstr>
      <vt:lpstr>Trayport_Pr_Ask_10600094_10600004_4000138</vt:lpstr>
      <vt:lpstr>Trayport_Pr_Ask_10600094_10600004_4000138_4000139</vt:lpstr>
      <vt:lpstr>Trayport_Pr_Ask_10600094_10600004_4000139</vt:lpstr>
      <vt:lpstr>Trayport_Pr_Ask_10600094_10600004_4000139_4000140</vt:lpstr>
      <vt:lpstr>Trayport_Pr_Ask_10600094_10600004_4000140</vt:lpstr>
      <vt:lpstr>Trayport_Pr_Ask_10600094_10600004_4000140_4000141</vt:lpstr>
      <vt:lpstr>Trayport_Pr_Ask_10600094_10600004_4000141</vt:lpstr>
      <vt:lpstr>Trayport_Pr_Ask_10600094_10600004_4000141_4000142</vt:lpstr>
      <vt:lpstr>Trayport_Pr_Ask_10600094_10600004_4000142</vt:lpstr>
      <vt:lpstr>Trayport_Pr_Ask_10600094_10600004_4000142_4000143</vt:lpstr>
      <vt:lpstr>Trayport_Pr_Ask_10600094_10600004_4000143</vt:lpstr>
      <vt:lpstr>Trayport_Pr_Ask_10600094_10600004_4000143_4000144</vt:lpstr>
      <vt:lpstr>Trayport_Pr_Ask_10600094_10600004_4000144</vt:lpstr>
      <vt:lpstr>Trayport_Pr_Ask_10600094_10600004_4000144_4000145</vt:lpstr>
      <vt:lpstr>Trayport_Pr_Ask_10600094_10600004_4000145</vt:lpstr>
      <vt:lpstr>Trayport_Pr_Ask_10600094_10600004_4000145_4000146</vt:lpstr>
      <vt:lpstr>Trayport_Pr_Ask_10600094_10600004_4000146</vt:lpstr>
      <vt:lpstr>Trayport_Pr_Ask_10600094_10600004_4000146_4000147</vt:lpstr>
      <vt:lpstr>Trayport_Pr_Ask_10600094_10600004_4000147</vt:lpstr>
      <vt:lpstr>Trayport_Pr_Ask_10600094_10600004_4000147_4000148</vt:lpstr>
      <vt:lpstr>Trayport_Pr_Ask_10600094_10600004_4000148</vt:lpstr>
      <vt:lpstr>Trayport_Pr_Ask_10600094_10600007_7000209</vt:lpstr>
      <vt:lpstr>Trayport_Pr_Ask_10600094_10600007_7000209_7000210</vt:lpstr>
      <vt:lpstr>Trayport_Pr_Ask_10600094_10600007_7000210</vt:lpstr>
      <vt:lpstr>Trayport_Pr_Ask_10600094_10600007_7000210_7000211</vt:lpstr>
      <vt:lpstr>Trayport_Pr_Ask_10600094_10600007_7000211</vt:lpstr>
      <vt:lpstr>Trayport_Pr_Ask_10600094_10600007_7000211_7000212</vt:lpstr>
      <vt:lpstr>Trayport_Pr_Ask_10600094_10600007_7000212</vt:lpstr>
      <vt:lpstr>Trayport_Pr_Ask_10600094_10600007_7000212_7000213</vt:lpstr>
      <vt:lpstr>Trayport_Pr_Ask_10600094_10600007_7000213</vt:lpstr>
      <vt:lpstr>Trayport_Pr_Bid_10600094_10600003_3000095</vt:lpstr>
      <vt:lpstr>Trayport_Pr_Bid_10600094_10600003_3000095_3000096</vt:lpstr>
      <vt:lpstr>Trayport_Pr_Bid_10600094_10600003_3000096</vt:lpstr>
      <vt:lpstr>Trayport_Pr_Bid_10600094_10600003_3000096_3000097</vt:lpstr>
      <vt:lpstr>Trayport_Pr_Bid_10600094_10600003_3000097</vt:lpstr>
      <vt:lpstr>Trayport_Pr_Bid_10600094_10600003_3000097_3000098</vt:lpstr>
      <vt:lpstr>Trayport_Pr_Bid_10600094_10600003_3000098</vt:lpstr>
      <vt:lpstr>Trayport_Pr_Bid_10600094_10600003_3000098_3000099</vt:lpstr>
      <vt:lpstr>Trayport_Pr_Bid_10600094_10600003_3000099</vt:lpstr>
      <vt:lpstr>Trayport_Pr_Bid_10600094_10600003_3000099_3000100</vt:lpstr>
      <vt:lpstr>Trayport_Pr_Bid_10600094_10600003_3000100</vt:lpstr>
      <vt:lpstr>Trayport_Pr_Bid_10600094_10600003_3000100_3000101</vt:lpstr>
      <vt:lpstr>Trayport_Pr_Bid_10600094_10600003_3000101</vt:lpstr>
      <vt:lpstr>Trayport_Pr_Bid_10600094_10600003_3000101_3000102</vt:lpstr>
      <vt:lpstr>Trayport_Pr_Bid_10600094_10600003_3000102</vt:lpstr>
      <vt:lpstr>Trayport_Pr_Bid_10600094_10600003_3000102_3000103</vt:lpstr>
      <vt:lpstr>Trayport_Pr_Bid_10600094_10600003_3000103</vt:lpstr>
      <vt:lpstr>Trayport_Pr_Bid_10600094_10600003_3000103_3000104</vt:lpstr>
      <vt:lpstr>Trayport_Pr_Bid_10600094_10600003_3000104</vt:lpstr>
      <vt:lpstr>Trayport_Pr_Bid_10600094_10600003_3000104_3000105</vt:lpstr>
      <vt:lpstr>Trayport_Pr_Bid_10600094_10600003_3000105</vt:lpstr>
      <vt:lpstr>Trayport_Pr_Bid_10600094_10600003_3000105_3000106</vt:lpstr>
      <vt:lpstr>Trayport_Pr_Bid_10600094_10600003_3000106</vt:lpstr>
      <vt:lpstr>Trayport_Pr_Bid_10600094_10600003_3000106_3000107</vt:lpstr>
      <vt:lpstr>Trayport_Pr_Bid_10600094_10600003_3000107</vt:lpstr>
      <vt:lpstr>Trayport_Pr_Bid_10600094_10600003_3000107_3000108</vt:lpstr>
      <vt:lpstr>Trayport_Pr_Bid_10600094_10600003_3000108</vt:lpstr>
      <vt:lpstr>Trayport_Pr_Bid_10600094_10600003_3000108_3000109</vt:lpstr>
      <vt:lpstr>Trayport_Pr_Bid_10600094_10600003_3000109</vt:lpstr>
      <vt:lpstr>Trayport_Pr_Bid_10600094_10600003_3000109_3000110</vt:lpstr>
      <vt:lpstr>Trayport_Pr_Bid_10600094_10600003_3000110</vt:lpstr>
      <vt:lpstr>Trayport_Pr_Bid_10600094_10600003_3000110_3000111</vt:lpstr>
      <vt:lpstr>Trayport_Pr_Bid_10600094_10600003_3000111</vt:lpstr>
      <vt:lpstr>Trayport_Pr_Bid_10600094_10600003_3000111_3000112</vt:lpstr>
      <vt:lpstr>Trayport_Pr_Bid_10600094_10600003_3000112</vt:lpstr>
      <vt:lpstr>Trayport_Pr_Bid_10600094_10600003_3000112_3000113</vt:lpstr>
      <vt:lpstr>Trayport_Pr_Bid_10600094_10600003_3000113</vt:lpstr>
      <vt:lpstr>Trayport_Pr_Bid_10600094_10600003_3000113_3000114</vt:lpstr>
      <vt:lpstr>Trayport_Pr_Bid_10600094_10600003_3000114</vt:lpstr>
      <vt:lpstr>Trayport_Pr_Bid_10600094_10600003_3000114_3000115</vt:lpstr>
      <vt:lpstr>Trayport_Pr_Bid_10600094_10600003_3000115</vt:lpstr>
      <vt:lpstr>Trayport_Pr_Bid_10600094_10600003_3000115_3000116</vt:lpstr>
      <vt:lpstr>Trayport_Pr_Bid_10600094_10600003_3000116</vt:lpstr>
      <vt:lpstr>Trayport_Pr_Bid_10600094_10600003_3000116_3000117</vt:lpstr>
      <vt:lpstr>Trayport_Pr_Bid_10600094_10600003_3000117</vt:lpstr>
      <vt:lpstr>Trayport_Pr_Bid_10600094_10600003_3000117_3000118</vt:lpstr>
      <vt:lpstr>Trayport_Pr_Bid_10600094_10600003_3000118</vt:lpstr>
      <vt:lpstr>Trayport_Pr_Bid_10600094_10600003_3000118_3000119</vt:lpstr>
      <vt:lpstr>Trayport_Pr_Bid_10600094_10600003_3000119</vt:lpstr>
      <vt:lpstr>Trayport_Pr_Bid_10600094_10600003_3000119_3000120</vt:lpstr>
      <vt:lpstr>Trayport_Pr_Bid_10600094_10600003_3000120</vt:lpstr>
      <vt:lpstr>Trayport_Pr_Bid_10600094_10600003_3000120_3000121</vt:lpstr>
      <vt:lpstr>Trayport_Pr_Bid_10600094_10600003_3000121</vt:lpstr>
      <vt:lpstr>Trayport_Pr_Bid_10600094_10600003_3000121_3000122</vt:lpstr>
      <vt:lpstr>Trayport_Pr_Bid_10600094_10600003_3000122</vt:lpstr>
      <vt:lpstr>Trayport_Pr_Bid_10600094_10600003_3000122_3000123</vt:lpstr>
      <vt:lpstr>Trayport_Pr_Bid_10600094_10600003_3000123</vt:lpstr>
      <vt:lpstr>Trayport_Pr_Bid_10600094_10600003_3000123_3000124</vt:lpstr>
      <vt:lpstr>Trayport_Pr_Bid_10600094_10600003_3000124</vt:lpstr>
      <vt:lpstr>Trayport_Pr_Bid_10600094_10600003_3000124_3000125</vt:lpstr>
      <vt:lpstr>Trayport_Pr_Bid_10600094_10600003_3000125</vt:lpstr>
      <vt:lpstr>Trayport_Pr_Bid_10600094_10600003_3000125_3000126</vt:lpstr>
      <vt:lpstr>Trayport_Pr_Bid_10600094_10600003_3000126</vt:lpstr>
      <vt:lpstr>Trayport_Pr_Bid_10600094_10600003_3000126_3000127</vt:lpstr>
      <vt:lpstr>Trayport_Pr_Bid_10600094_10600003_3000127</vt:lpstr>
      <vt:lpstr>Trayport_Pr_Bid_10600094_10600003_3000127_3000128</vt:lpstr>
      <vt:lpstr>Trayport_Pr_Bid_10600094_10600003_3000128</vt:lpstr>
      <vt:lpstr>Trayport_Pr_Bid_10600094_10600003_3000128_3000129</vt:lpstr>
      <vt:lpstr>Trayport_Pr_Bid_10600094_10600003_3000129</vt:lpstr>
      <vt:lpstr>Trayport_Pr_Bid_10600094_10600003_3000129_3000130</vt:lpstr>
      <vt:lpstr>Trayport_Pr_Bid_10600094_10600003_3000130</vt:lpstr>
      <vt:lpstr>Trayport_Pr_Bid_10600094_10600003_3000130_3000131</vt:lpstr>
      <vt:lpstr>Trayport_Pr_Bid_10600094_10600003_3000131</vt:lpstr>
      <vt:lpstr>Trayport_Pr_Bid_10600094_10600003_3000132</vt:lpstr>
      <vt:lpstr>Trayport_Pr_Bid_10600094_10600003_3000133</vt:lpstr>
      <vt:lpstr>Trayport_Pr_Bid_10600094_10600003_3000134</vt:lpstr>
      <vt:lpstr>Trayport_Pr_Bid_10600094_10600003_3000135</vt:lpstr>
      <vt:lpstr>Trayport_Pr_Bid_10600094_10600003_3000136</vt:lpstr>
      <vt:lpstr>Trayport_Pr_Bid_10600094_10600003_3000137</vt:lpstr>
      <vt:lpstr>Trayport_Pr_Bid_10600094_10600003_3000138</vt:lpstr>
      <vt:lpstr>Trayport_Pr_Bid_10600094_10600003_3000139</vt:lpstr>
      <vt:lpstr>Trayport_Pr_Bid_10600094_10600003_3000140</vt:lpstr>
      <vt:lpstr>Trayport_Pr_Bid_10600094_10600003_3000141</vt:lpstr>
      <vt:lpstr>Trayport_Pr_Bid_10600094_10600003_3000142</vt:lpstr>
      <vt:lpstr>Trayport_Pr_Bid_10600094_10600003_3000143</vt:lpstr>
      <vt:lpstr>Trayport_Pr_Bid_10600094_10600003_3000144</vt:lpstr>
      <vt:lpstr>Trayport_Pr_Bid_10600094_10600004_4000133</vt:lpstr>
      <vt:lpstr>Trayport_Pr_Bid_10600094_10600004_4000133_4000134</vt:lpstr>
      <vt:lpstr>Trayport_Pr_Bid_10600094_10600004_4000134</vt:lpstr>
      <vt:lpstr>Trayport_Pr_Bid_10600094_10600004_4000134_4000135</vt:lpstr>
      <vt:lpstr>Trayport_Pr_Bid_10600094_10600004_4000135</vt:lpstr>
      <vt:lpstr>Trayport_Pr_Bid_10600094_10600004_4000135_4000136</vt:lpstr>
      <vt:lpstr>Trayport_Pr_Bid_10600094_10600004_4000136</vt:lpstr>
      <vt:lpstr>Trayport_Pr_Bid_10600094_10600004_4000136_4000137</vt:lpstr>
      <vt:lpstr>Trayport_Pr_Bid_10600094_10600004_4000137</vt:lpstr>
      <vt:lpstr>Trayport_Pr_Bid_10600094_10600004_4000137_4000138</vt:lpstr>
      <vt:lpstr>Trayport_Pr_Bid_10600094_10600004_4000138</vt:lpstr>
      <vt:lpstr>Trayport_Pr_Bid_10600094_10600004_4000138_4000139</vt:lpstr>
      <vt:lpstr>Trayport_Pr_Bid_10600094_10600004_4000139</vt:lpstr>
      <vt:lpstr>Trayport_Pr_Bid_10600094_10600004_4000139_4000140</vt:lpstr>
      <vt:lpstr>Trayport_Pr_Bid_10600094_10600004_4000140</vt:lpstr>
      <vt:lpstr>Trayport_Pr_Bid_10600094_10600004_4000140_4000141</vt:lpstr>
      <vt:lpstr>Trayport_Pr_Bid_10600094_10600004_4000141</vt:lpstr>
      <vt:lpstr>Trayport_Pr_Bid_10600094_10600004_4000141_4000142</vt:lpstr>
      <vt:lpstr>Trayport_Pr_Bid_10600094_10600004_4000142</vt:lpstr>
      <vt:lpstr>Trayport_Pr_Bid_10600094_10600004_4000142_4000143</vt:lpstr>
      <vt:lpstr>Trayport_Pr_Bid_10600094_10600004_4000143</vt:lpstr>
      <vt:lpstr>Trayport_Pr_Bid_10600094_10600004_4000143_4000144</vt:lpstr>
      <vt:lpstr>Trayport_Pr_Bid_10600094_10600004_4000144</vt:lpstr>
      <vt:lpstr>Trayport_Pr_Bid_10600094_10600004_4000144_4000145</vt:lpstr>
      <vt:lpstr>Trayport_Pr_Bid_10600094_10600004_4000145</vt:lpstr>
      <vt:lpstr>Trayport_Pr_Bid_10600094_10600004_4000145_4000146</vt:lpstr>
      <vt:lpstr>Trayport_Pr_Bid_10600094_10600004_4000146</vt:lpstr>
      <vt:lpstr>Trayport_Pr_Bid_10600094_10600004_4000146_4000147</vt:lpstr>
      <vt:lpstr>Trayport_Pr_Bid_10600094_10600004_4000147</vt:lpstr>
      <vt:lpstr>Trayport_Pr_Bid_10600094_10600004_4000147_4000148</vt:lpstr>
      <vt:lpstr>Trayport_Pr_Bid_10600094_10600004_4000148</vt:lpstr>
      <vt:lpstr>Trayport_Pr_Bid_10600094_10600007_7000209</vt:lpstr>
      <vt:lpstr>Trayport_Pr_Bid_10600094_10600007_7000209_7000210</vt:lpstr>
      <vt:lpstr>Trayport_Pr_Bid_10600094_10600007_7000210</vt:lpstr>
      <vt:lpstr>Trayport_Pr_Bid_10600094_10600007_7000210_7000211</vt:lpstr>
      <vt:lpstr>Trayport_Pr_Bid_10600094_10600007_7000211</vt:lpstr>
      <vt:lpstr>Trayport_Pr_Bid_10600094_10600007_7000211_7000212</vt:lpstr>
      <vt:lpstr>Trayport_Pr_Bid_10600094_10600007_7000212</vt:lpstr>
      <vt:lpstr>Trayport_Pr_Bid_10600094_10600007_7000212_7000213</vt:lpstr>
      <vt:lpstr>Trayport_Pr_Bid_10600094_10600007_7000213</vt:lpstr>
      <vt:lpstr>Trayport_Qty_Ask_10600094_10600003_3000095</vt:lpstr>
      <vt:lpstr>Trayport_Qty_Ask_10600094_10600003_3000095_3000096</vt:lpstr>
      <vt:lpstr>Trayport_Qty_Ask_10600094_10600003_3000096</vt:lpstr>
      <vt:lpstr>Trayport_Qty_Ask_10600094_10600003_3000096_3000097</vt:lpstr>
      <vt:lpstr>Trayport_Qty_Ask_10600094_10600003_3000097</vt:lpstr>
      <vt:lpstr>Trayport_Qty_Ask_10600094_10600003_3000097_3000098</vt:lpstr>
      <vt:lpstr>Trayport_Qty_Ask_10600094_10600003_3000098</vt:lpstr>
      <vt:lpstr>Trayport_Qty_Ask_10600094_10600003_3000098_3000099</vt:lpstr>
      <vt:lpstr>Trayport_Qty_Ask_10600094_10600003_3000099</vt:lpstr>
      <vt:lpstr>Trayport_Qty_Ask_10600094_10600003_3000099_3000100</vt:lpstr>
      <vt:lpstr>Trayport_Qty_Ask_10600094_10600003_3000100</vt:lpstr>
      <vt:lpstr>Trayport_Qty_Ask_10600094_10600003_3000100_3000101</vt:lpstr>
      <vt:lpstr>Trayport_Qty_Ask_10600094_10600003_3000101</vt:lpstr>
      <vt:lpstr>Trayport_Qty_Ask_10600094_10600003_3000101_3000102</vt:lpstr>
      <vt:lpstr>Trayport_Qty_Ask_10600094_10600003_3000102</vt:lpstr>
      <vt:lpstr>Trayport_Qty_Ask_10600094_10600003_3000102_3000103</vt:lpstr>
      <vt:lpstr>Trayport_Qty_Ask_10600094_10600003_3000103</vt:lpstr>
      <vt:lpstr>Trayport_Qty_Ask_10600094_10600003_3000103_3000104</vt:lpstr>
      <vt:lpstr>Trayport_Qty_Ask_10600094_10600003_3000104</vt:lpstr>
      <vt:lpstr>Trayport_Qty_Ask_10600094_10600003_3000104_3000105</vt:lpstr>
      <vt:lpstr>Trayport_Qty_Ask_10600094_10600003_3000105</vt:lpstr>
      <vt:lpstr>Trayport_Qty_Ask_10600094_10600003_3000105_3000106</vt:lpstr>
      <vt:lpstr>Trayport_Qty_Ask_10600094_10600003_3000106</vt:lpstr>
      <vt:lpstr>Trayport_Qty_Ask_10600094_10600003_3000106_3000107</vt:lpstr>
      <vt:lpstr>Trayport_Qty_Ask_10600094_10600003_3000107</vt:lpstr>
      <vt:lpstr>Trayport_Qty_Ask_10600094_10600003_3000107_3000108</vt:lpstr>
      <vt:lpstr>Trayport_Qty_Ask_10600094_10600003_3000108</vt:lpstr>
      <vt:lpstr>Trayport_Qty_Ask_10600094_10600003_3000108_3000109</vt:lpstr>
      <vt:lpstr>Trayport_Qty_Ask_10600094_10600003_3000109</vt:lpstr>
      <vt:lpstr>Trayport_Qty_Ask_10600094_10600003_3000109_3000110</vt:lpstr>
      <vt:lpstr>Trayport_Qty_Ask_10600094_10600003_3000110</vt:lpstr>
      <vt:lpstr>Trayport_Qty_Ask_10600094_10600003_3000110_3000111</vt:lpstr>
      <vt:lpstr>Trayport_Qty_Ask_10600094_10600003_3000111</vt:lpstr>
      <vt:lpstr>Trayport_Qty_Ask_10600094_10600003_3000111_3000112</vt:lpstr>
      <vt:lpstr>Trayport_Qty_Ask_10600094_10600003_3000112</vt:lpstr>
      <vt:lpstr>Trayport_Qty_Ask_10600094_10600003_3000112_3000113</vt:lpstr>
      <vt:lpstr>Trayport_Qty_Ask_10600094_10600003_3000113</vt:lpstr>
      <vt:lpstr>Trayport_Qty_Ask_10600094_10600003_3000113_3000114</vt:lpstr>
      <vt:lpstr>Trayport_Qty_Ask_10600094_10600003_3000114</vt:lpstr>
      <vt:lpstr>Trayport_Qty_Ask_10600094_10600003_3000114_3000115</vt:lpstr>
      <vt:lpstr>Trayport_Qty_Ask_10600094_10600003_3000115</vt:lpstr>
      <vt:lpstr>Trayport_Qty_Ask_10600094_10600003_3000115_3000116</vt:lpstr>
      <vt:lpstr>Trayport_Qty_Ask_10600094_10600003_3000116</vt:lpstr>
      <vt:lpstr>Trayport_Qty_Ask_10600094_10600003_3000116_3000117</vt:lpstr>
      <vt:lpstr>Trayport_Qty_Ask_10600094_10600003_3000117</vt:lpstr>
      <vt:lpstr>Trayport_Qty_Ask_10600094_10600003_3000117_3000118</vt:lpstr>
      <vt:lpstr>Trayport_Qty_Ask_10600094_10600003_3000118</vt:lpstr>
      <vt:lpstr>Trayport_Qty_Ask_10600094_10600003_3000118_3000119</vt:lpstr>
      <vt:lpstr>Trayport_Qty_Ask_10600094_10600003_3000119</vt:lpstr>
      <vt:lpstr>Trayport_Qty_Ask_10600094_10600003_3000119_3000120</vt:lpstr>
      <vt:lpstr>Trayport_Qty_Ask_10600094_10600003_3000120</vt:lpstr>
      <vt:lpstr>Trayport_Qty_Ask_10600094_10600003_3000120_3000121</vt:lpstr>
      <vt:lpstr>Trayport_Qty_Ask_10600094_10600003_3000121</vt:lpstr>
      <vt:lpstr>Trayport_Qty_Ask_10600094_10600003_3000121_3000122</vt:lpstr>
      <vt:lpstr>Trayport_Qty_Ask_10600094_10600003_3000122</vt:lpstr>
      <vt:lpstr>Trayport_Qty_Ask_10600094_10600003_3000122_3000123</vt:lpstr>
      <vt:lpstr>Trayport_Qty_Ask_10600094_10600003_3000123</vt:lpstr>
      <vt:lpstr>Trayport_Qty_Ask_10600094_10600003_3000123_3000124</vt:lpstr>
      <vt:lpstr>Trayport_Qty_Ask_10600094_10600003_3000124</vt:lpstr>
      <vt:lpstr>Trayport_Qty_Ask_10600094_10600003_3000124_3000125</vt:lpstr>
      <vt:lpstr>Trayport_Qty_Ask_10600094_10600003_3000125</vt:lpstr>
      <vt:lpstr>Trayport_Qty_Ask_10600094_10600003_3000125_3000126</vt:lpstr>
      <vt:lpstr>Trayport_Qty_Ask_10600094_10600003_3000126</vt:lpstr>
      <vt:lpstr>Trayport_Qty_Ask_10600094_10600003_3000126_3000127</vt:lpstr>
      <vt:lpstr>Trayport_Qty_Ask_10600094_10600003_3000127</vt:lpstr>
      <vt:lpstr>Trayport_Qty_Ask_10600094_10600003_3000127_3000128</vt:lpstr>
      <vt:lpstr>Trayport_Qty_Ask_10600094_10600003_3000128</vt:lpstr>
      <vt:lpstr>Trayport_Qty_Ask_10600094_10600003_3000128_3000129</vt:lpstr>
      <vt:lpstr>Trayport_Qty_Ask_10600094_10600003_3000129</vt:lpstr>
      <vt:lpstr>Trayport_Qty_Ask_10600094_10600003_3000129_3000130</vt:lpstr>
      <vt:lpstr>Trayport_Qty_Ask_10600094_10600003_3000130</vt:lpstr>
      <vt:lpstr>Trayport_Qty_Ask_10600094_10600003_3000130_3000131</vt:lpstr>
      <vt:lpstr>Trayport_Qty_Ask_10600094_10600003_3000131</vt:lpstr>
      <vt:lpstr>Trayport_Qty_Ask_10600094_10600003_3000132</vt:lpstr>
      <vt:lpstr>Trayport_Qty_Ask_10600094_10600003_3000133</vt:lpstr>
      <vt:lpstr>Trayport_Qty_Ask_10600094_10600003_3000134</vt:lpstr>
      <vt:lpstr>Trayport_Qty_Ask_10600094_10600003_3000135</vt:lpstr>
      <vt:lpstr>Trayport_Qty_Ask_10600094_10600003_3000136</vt:lpstr>
      <vt:lpstr>Trayport_Qty_Ask_10600094_10600003_3000137</vt:lpstr>
      <vt:lpstr>Trayport_Qty_Ask_10600094_10600003_3000138</vt:lpstr>
      <vt:lpstr>Trayport_Qty_Ask_10600094_10600003_3000139</vt:lpstr>
      <vt:lpstr>Trayport_Qty_Ask_10600094_10600003_3000140</vt:lpstr>
      <vt:lpstr>Trayport_Qty_Ask_10600094_10600003_3000141</vt:lpstr>
      <vt:lpstr>Trayport_Qty_Ask_10600094_10600003_3000142</vt:lpstr>
      <vt:lpstr>Trayport_Qty_Ask_10600094_10600003_3000143</vt:lpstr>
      <vt:lpstr>Trayport_Qty_Ask_10600094_10600003_3000144</vt:lpstr>
      <vt:lpstr>Trayport_Qty_Ask_10600094_10600004_4000133</vt:lpstr>
      <vt:lpstr>Trayport_Qty_Ask_10600094_10600004_4000133_4000134</vt:lpstr>
      <vt:lpstr>Trayport_Qty_Ask_10600094_10600004_4000134</vt:lpstr>
      <vt:lpstr>Trayport_Qty_Ask_10600094_10600004_4000134_4000135</vt:lpstr>
      <vt:lpstr>Trayport_Qty_Ask_10600094_10600004_4000135</vt:lpstr>
      <vt:lpstr>Trayport_Qty_Ask_10600094_10600004_4000135_4000136</vt:lpstr>
      <vt:lpstr>Trayport_Qty_Ask_10600094_10600004_4000136</vt:lpstr>
      <vt:lpstr>Trayport_Qty_Ask_10600094_10600004_4000136_4000137</vt:lpstr>
      <vt:lpstr>Trayport_Qty_Ask_10600094_10600004_4000137</vt:lpstr>
      <vt:lpstr>Trayport_Qty_Ask_10600094_10600004_4000137_4000138</vt:lpstr>
      <vt:lpstr>Trayport_Qty_Ask_10600094_10600004_4000138</vt:lpstr>
      <vt:lpstr>Trayport_Qty_Ask_10600094_10600004_4000138_4000139</vt:lpstr>
      <vt:lpstr>Trayport_Qty_Ask_10600094_10600004_4000139</vt:lpstr>
      <vt:lpstr>Trayport_Qty_Ask_10600094_10600004_4000139_4000140</vt:lpstr>
      <vt:lpstr>Trayport_Qty_Ask_10600094_10600004_4000140</vt:lpstr>
      <vt:lpstr>Trayport_Qty_Ask_10600094_10600004_4000140_4000141</vt:lpstr>
      <vt:lpstr>Trayport_Qty_Ask_10600094_10600004_4000141</vt:lpstr>
      <vt:lpstr>Trayport_Qty_Ask_10600094_10600004_4000141_4000142</vt:lpstr>
      <vt:lpstr>Trayport_Qty_Ask_10600094_10600004_4000142</vt:lpstr>
      <vt:lpstr>Trayport_Qty_Ask_10600094_10600004_4000142_4000143</vt:lpstr>
      <vt:lpstr>Trayport_Qty_Ask_10600094_10600004_4000143</vt:lpstr>
      <vt:lpstr>Trayport_Qty_Ask_10600094_10600004_4000143_4000144</vt:lpstr>
      <vt:lpstr>Trayport_Qty_Ask_10600094_10600004_4000144</vt:lpstr>
      <vt:lpstr>Trayport_Qty_Ask_10600094_10600004_4000144_4000145</vt:lpstr>
      <vt:lpstr>Trayport_Qty_Ask_10600094_10600004_4000145</vt:lpstr>
      <vt:lpstr>Trayport_Qty_Ask_10600094_10600004_4000145_4000146</vt:lpstr>
      <vt:lpstr>Trayport_Qty_Ask_10600094_10600004_4000146</vt:lpstr>
      <vt:lpstr>Trayport_Qty_Ask_10600094_10600004_4000146_4000147</vt:lpstr>
      <vt:lpstr>Trayport_Qty_Ask_10600094_10600004_4000147</vt:lpstr>
      <vt:lpstr>Trayport_Qty_Ask_10600094_10600004_4000147_4000148</vt:lpstr>
      <vt:lpstr>Trayport_Qty_Ask_10600094_10600004_4000148</vt:lpstr>
      <vt:lpstr>Trayport_Qty_Ask_10600094_10600007_7000209</vt:lpstr>
      <vt:lpstr>Trayport_Qty_Ask_10600094_10600007_7000209_7000210</vt:lpstr>
      <vt:lpstr>Trayport_Qty_Ask_10600094_10600007_7000210</vt:lpstr>
      <vt:lpstr>Trayport_Qty_Ask_10600094_10600007_7000210_7000211</vt:lpstr>
      <vt:lpstr>Trayport_Qty_Ask_10600094_10600007_7000211</vt:lpstr>
      <vt:lpstr>Trayport_Qty_Ask_10600094_10600007_7000211_7000212</vt:lpstr>
      <vt:lpstr>Trayport_Qty_Ask_10600094_10600007_7000212</vt:lpstr>
      <vt:lpstr>Trayport_Qty_Ask_10600094_10600007_7000212_7000213</vt:lpstr>
      <vt:lpstr>Trayport_Qty_Ask_10600094_10600007_7000213</vt:lpstr>
      <vt:lpstr>Trayport_Qty_Bid_10600094_10600003_3000095</vt:lpstr>
      <vt:lpstr>Trayport_Qty_Bid_10600094_10600003_3000095_3000096</vt:lpstr>
      <vt:lpstr>Trayport_Qty_Bid_10600094_10600003_3000096</vt:lpstr>
      <vt:lpstr>Trayport_Qty_Bid_10600094_10600003_3000096_3000097</vt:lpstr>
      <vt:lpstr>Trayport_Qty_Bid_10600094_10600003_3000097</vt:lpstr>
      <vt:lpstr>Trayport_Qty_Bid_10600094_10600003_3000097_3000098</vt:lpstr>
      <vt:lpstr>Trayport_Qty_Bid_10600094_10600003_3000098</vt:lpstr>
      <vt:lpstr>Trayport_Qty_Bid_10600094_10600003_3000098_3000099</vt:lpstr>
      <vt:lpstr>Trayport_Qty_Bid_10600094_10600003_3000099</vt:lpstr>
      <vt:lpstr>Trayport_Qty_Bid_10600094_10600003_3000099_3000100</vt:lpstr>
      <vt:lpstr>Trayport_Qty_Bid_10600094_10600003_3000100</vt:lpstr>
      <vt:lpstr>Trayport_Qty_Bid_10600094_10600003_3000100_3000101</vt:lpstr>
      <vt:lpstr>Trayport_Qty_Bid_10600094_10600003_3000101</vt:lpstr>
      <vt:lpstr>Trayport_Qty_Bid_10600094_10600003_3000101_3000102</vt:lpstr>
      <vt:lpstr>Trayport_Qty_Bid_10600094_10600003_3000102</vt:lpstr>
      <vt:lpstr>Trayport_Qty_Bid_10600094_10600003_3000102_3000103</vt:lpstr>
      <vt:lpstr>Trayport_Qty_Bid_10600094_10600003_3000103</vt:lpstr>
      <vt:lpstr>Trayport_Qty_Bid_10600094_10600003_3000103_3000104</vt:lpstr>
      <vt:lpstr>Trayport_Qty_Bid_10600094_10600003_3000104</vt:lpstr>
      <vt:lpstr>Trayport_Qty_Bid_10600094_10600003_3000104_3000105</vt:lpstr>
      <vt:lpstr>Trayport_Qty_Bid_10600094_10600003_3000105</vt:lpstr>
      <vt:lpstr>Trayport_Qty_Bid_10600094_10600003_3000105_3000106</vt:lpstr>
      <vt:lpstr>Trayport_Qty_Bid_10600094_10600003_3000106</vt:lpstr>
      <vt:lpstr>Trayport_Qty_Bid_10600094_10600003_3000106_3000107</vt:lpstr>
      <vt:lpstr>Trayport_Qty_Bid_10600094_10600003_3000107</vt:lpstr>
      <vt:lpstr>Trayport_Qty_Bid_10600094_10600003_3000107_3000108</vt:lpstr>
      <vt:lpstr>Trayport_Qty_Bid_10600094_10600003_3000108</vt:lpstr>
      <vt:lpstr>Trayport_Qty_Bid_10600094_10600003_3000108_3000109</vt:lpstr>
      <vt:lpstr>Trayport_Qty_Bid_10600094_10600003_3000109</vt:lpstr>
      <vt:lpstr>Trayport_Qty_Bid_10600094_10600003_3000109_3000110</vt:lpstr>
      <vt:lpstr>Trayport_Qty_Bid_10600094_10600003_3000110</vt:lpstr>
      <vt:lpstr>Trayport_Qty_Bid_10600094_10600003_3000110_3000111</vt:lpstr>
      <vt:lpstr>Trayport_Qty_Bid_10600094_10600003_3000111</vt:lpstr>
      <vt:lpstr>Trayport_Qty_Bid_10600094_10600003_3000111_3000112</vt:lpstr>
      <vt:lpstr>Trayport_Qty_Bid_10600094_10600003_3000112</vt:lpstr>
      <vt:lpstr>Trayport_Qty_Bid_10600094_10600003_3000112_3000113</vt:lpstr>
      <vt:lpstr>Trayport_Qty_Bid_10600094_10600003_3000113</vt:lpstr>
      <vt:lpstr>Trayport_Qty_Bid_10600094_10600003_3000113_3000114</vt:lpstr>
      <vt:lpstr>Trayport_Qty_Bid_10600094_10600003_3000114</vt:lpstr>
      <vt:lpstr>Trayport_Qty_Bid_10600094_10600003_3000114_3000115</vt:lpstr>
      <vt:lpstr>Trayport_Qty_Bid_10600094_10600003_3000115</vt:lpstr>
      <vt:lpstr>Trayport_Qty_Bid_10600094_10600003_3000115_3000116</vt:lpstr>
      <vt:lpstr>Trayport_Qty_Bid_10600094_10600003_3000116</vt:lpstr>
      <vt:lpstr>Trayport_Qty_Bid_10600094_10600003_3000116_3000117</vt:lpstr>
      <vt:lpstr>Trayport_Qty_Bid_10600094_10600003_3000117</vt:lpstr>
      <vt:lpstr>Trayport_Qty_Bid_10600094_10600003_3000117_3000118</vt:lpstr>
      <vt:lpstr>Trayport_Qty_Bid_10600094_10600003_3000118</vt:lpstr>
      <vt:lpstr>Trayport_Qty_Bid_10600094_10600003_3000118_3000119</vt:lpstr>
      <vt:lpstr>Trayport_Qty_Bid_10600094_10600003_3000119</vt:lpstr>
      <vt:lpstr>Trayport_Qty_Bid_10600094_10600003_3000119_3000120</vt:lpstr>
      <vt:lpstr>Trayport_Qty_Bid_10600094_10600003_3000120</vt:lpstr>
      <vt:lpstr>Trayport_Qty_Bid_10600094_10600003_3000120_3000121</vt:lpstr>
      <vt:lpstr>Trayport_Qty_Bid_10600094_10600003_3000121</vt:lpstr>
      <vt:lpstr>Trayport_Qty_Bid_10600094_10600003_3000121_3000122</vt:lpstr>
      <vt:lpstr>Trayport_Qty_Bid_10600094_10600003_3000122</vt:lpstr>
      <vt:lpstr>Trayport_Qty_Bid_10600094_10600003_3000122_3000123</vt:lpstr>
      <vt:lpstr>Trayport_Qty_Bid_10600094_10600003_3000123</vt:lpstr>
      <vt:lpstr>Trayport_Qty_Bid_10600094_10600003_3000123_3000124</vt:lpstr>
      <vt:lpstr>Trayport_Qty_Bid_10600094_10600003_3000124</vt:lpstr>
      <vt:lpstr>Trayport_Qty_Bid_10600094_10600003_3000124_3000125</vt:lpstr>
      <vt:lpstr>Trayport_Qty_Bid_10600094_10600003_3000125</vt:lpstr>
      <vt:lpstr>Trayport_Qty_Bid_10600094_10600003_3000125_3000126</vt:lpstr>
      <vt:lpstr>Trayport_Qty_Bid_10600094_10600003_3000126</vt:lpstr>
      <vt:lpstr>Trayport_Qty_Bid_10600094_10600003_3000126_3000127</vt:lpstr>
      <vt:lpstr>Trayport_Qty_Bid_10600094_10600003_3000127</vt:lpstr>
      <vt:lpstr>Trayport_Qty_Bid_10600094_10600003_3000127_3000128</vt:lpstr>
      <vt:lpstr>Trayport_Qty_Bid_10600094_10600003_3000128</vt:lpstr>
      <vt:lpstr>Trayport_Qty_Bid_10600094_10600003_3000128_3000129</vt:lpstr>
      <vt:lpstr>Trayport_Qty_Bid_10600094_10600003_3000129</vt:lpstr>
      <vt:lpstr>Trayport_Qty_Bid_10600094_10600003_3000129_3000130</vt:lpstr>
      <vt:lpstr>Trayport_Qty_Bid_10600094_10600003_3000130</vt:lpstr>
      <vt:lpstr>Trayport_Qty_Bid_10600094_10600003_3000130_3000131</vt:lpstr>
      <vt:lpstr>Trayport_Qty_Bid_10600094_10600003_3000131</vt:lpstr>
      <vt:lpstr>Trayport_Qty_Bid_10600094_10600003_3000132</vt:lpstr>
      <vt:lpstr>Trayport_Qty_Bid_10600094_10600003_3000133</vt:lpstr>
      <vt:lpstr>Trayport_Qty_Bid_10600094_10600003_3000134</vt:lpstr>
      <vt:lpstr>Trayport_Qty_Bid_10600094_10600003_3000135</vt:lpstr>
      <vt:lpstr>Trayport_Qty_Bid_10600094_10600003_3000136</vt:lpstr>
      <vt:lpstr>Trayport_Qty_Bid_10600094_10600003_3000137</vt:lpstr>
      <vt:lpstr>Trayport_Qty_Bid_10600094_10600003_3000138</vt:lpstr>
      <vt:lpstr>Trayport_Qty_Bid_10600094_10600003_3000139</vt:lpstr>
      <vt:lpstr>Trayport_Qty_Bid_10600094_10600003_3000140</vt:lpstr>
      <vt:lpstr>Trayport_Qty_Bid_10600094_10600003_3000141</vt:lpstr>
      <vt:lpstr>Trayport_Qty_Bid_10600094_10600003_3000142</vt:lpstr>
      <vt:lpstr>Trayport_Qty_Bid_10600094_10600003_3000143</vt:lpstr>
      <vt:lpstr>Trayport_Qty_Bid_10600094_10600003_3000144</vt:lpstr>
      <vt:lpstr>Trayport_Qty_Bid_10600094_10600004_4000133</vt:lpstr>
      <vt:lpstr>Trayport_Qty_Bid_10600094_10600004_4000133_4000134</vt:lpstr>
      <vt:lpstr>Trayport_Qty_Bid_10600094_10600004_4000134</vt:lpstr>
      <vt:lpstr>Trayport_Qty_Bid_10600094_10600004_4000134_4000135</vt:lpstr>
      <vt:lpstr>Trayport_Qty_Bid_10600094_10600004_4000135</vt:lpstr>
      <vt:lpstr>Trayport_Qty_Bid_10600094_10600004_4000135_4000136</vt:lpstr>
      <vt:lpstr>Trayport_Qty_Bid_10600094_10600004_4000136</vt:lpstr>
      <vt:lpstr>Trayport_Qty_Bid_10600094_10600004_4000136_4000137</vt:lpstr>
      <vt:lpstr>Trayport_Qty_Bid_10600094_10600004_4000137</vt:lpstr>
      <vt:lpstr>Trayport_Qty_Bid_10600094_10600004_4000137_4000138</vt:lpstr>
      <vt:lpstr>Trayport_Qty_Bid_10600094_10600004_4000138</vt:lpstr>
      <vt:lpstr>Trayport_Qty_Bid_10600094_10600004_4000138_4000139</vt:lpstr>
      <vt:lpstr>Trayport_Qty_Bid_10600094_10600004_4000139</vt:lpstr>
      <vt:lpstr>Trayport_Qty_Bid_10600094_10600004_4000139_4000140</vt:lpstr>
      <vt:lpstr>Trayport_Qty_Bid_10600094_10600004_4000140</vt:lpstr>
      <vt:lpstr>Trayport_Qty_Bid_10600094_10600004_4000140_4000141</vt:lpstr>
      <vt:lpstr>Trayport_Qty_Bid_10600094_10600004_4000141</vt:lpstr>
      <vt:lpstr>Trayport_Qty_Bid_10600094_10600004_4000141_4000142</vt:lpstr>
      <vt:lpstr>Trayport_Qty_Bid_10600094_10600004_4000142</vt:lpstr>
      <vt:lpstr>Trayport_Qty_Bid_10600094_10600004_4000142_4000143</vt:lpstr>
      <vt:lpstr>Trayport_Qty_Bid_10600094_10600004_4000143</vt:lpstr>
      <vt:lpstr>Trayport_Qty_Bid_10600094_10600004_4000143_4000144</vt:lpstr>
      <vt:lpstr>Trayport_Qty_Bid_10600094_10600004_4000144</vt:lpstr>
      <vt:lpstr>Trayport_Qty_Bid_10600094_10600004_4000144_4000145</vt:lpstr>
      <vt:lpstr>Trayport_Qty_Bid_10600094_10600004_4000145</vt:lpstr>
      <vt:lpstr>Trayport_Qty_Bid_10600094_10600004_4000145_4000146</vt:lpstr>
      <vt:lpstr>Trayport_Qty_Bid_10600094_10600004_4000146</vt:lpstr>
      <vt:lpstr>Trayport_Qty_Bid_10600094_10600004_4000146_4000147</vt:lpstr>
      <vt:lpstr>Trayport_Qty_Bid_10600094_10600004_4000147</vt:lpstr>
      <vt:lpstr>Trayport_Qty_Bid_10600094_10600004_4000147_4000148</vt:lpstr>
      <vt:lpstr>Trayport_Qty_Bid_10600094_10600004_4000148</vt:lpstr>
      <vt:lpstr>Trayport_Qty_Bid_10600094_10600007_7000209</vt:lpstr>
      <vt:lpstr>Trayport_Qty_Bid_10600094_10600007_7000209_7000210</vt:lpstr>
      <vt:lpstr>Trayport_Qty_Bid_10600094_10600007_7000210</vt:lpstr>
      <vt:lpstr>Trayport_Qty_Bid_10600094_10600007_7000210_7000211</vt:lpstr>
      <vt:lpstr>Trayport_Qty_Bid_10600094_10600007_7000211</vt:lpstr>
      <vt:lpstr>Trayport_Qty_Bid_10600094_10600007_7000211_7000212</vt:lpstr>
      <vt:lpstr>Trayport_Qty_Bid_10600094_10600007_7000212</vt:lpstr>
      <vt:lpstr>Trayport_Qty_Bid_10600094_10600007_7000212_7000213</vt:lpstr>
      <vt:lpstr>Trayport_Qty_Bid_10600094_10600007_7000213</vt:lpstr>
    </vt:vector>
  </TitlesOfParts>
  <Company>Hewlett-Packard Company</Company>
  <LinksUpToDate>false</LinksUpToDate>
  <CharactersWithSpaces>0</CharactersWithSpaces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myles.clement</dc:creator>
  <cp:lastModifiedBy>Guest user - English</cp:lastModifiedBy>
  <cp:revision>1</cp:revision>
  <cp:lastPrinted>2019-09-12T08:46:12Z</cp:lastPrinted>
  <dcterms:created xsi:type="dcterms:W3CDTF">2014-12-24T02:32:18Z</dcterms:created>
  <dcterms:modified xsi:type="dcterms:W3CDTF">2019-12-23T01:46:53Z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